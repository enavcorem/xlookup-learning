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🕵️ לוח בקרה" state="visible" r:id="rId4"/>
    <sheet sheetId="2" name="📁 נתוני המערכת" state="visible" r:id="rId5"/>
    <sheet sheetId="3" name="תחנה 1" state="visible" r:id="rId6"/>
    <sheet sheetId="4" name="תחנה 2" state="visible" r:id="rId7"/>
    <sheet sheetId="5" name="תחנה 3" state="visible" r:id="rId8"/>
    <sheet sheetId="6" name="תחנה 4" state="visible" r:id="rId9"/>
    <sheet sheetId="7" name="תחנה 5" state="visible" r:id="rId10"/>
    <sheet sheetId="8" name="תחנה 6" state="visible" r:id="rId11"/>
    <sheet sheetId="9" name="🔓 פתיחת התיק" state="visible" r:id="rId12"/>
    <sheet sheetId="10" name="💡 עזרה" state="visible" r:id="rId13"/>
  </sheets>
  <calcPr calcId="171027" fullCalcOnLoad="1"/>
</workbook>
</file>

<file path=xl/sharedStrings.xml><?xml version="1.0" encoding="utf-8"?>
<sst xmlns="http://schemas.openxmlformats.org/spreadsheetml/2006/main" count="163" uniqueCount="140">
  <si>
    <t>🕵️ מבצע XLOOKUP — תיק 404: ההזמנה שנעלמה</t>
  </si>
  <si>
    <t>הזמנה מספר 404 נעלמה ממערכת ההזמנות. הלקוח מתקשר, המנהלת לוחצת, ואף אחד לא מצליח לשחזר מה בדיוק הוזמן, על ידי מי, ולאן זה היה אמור להגיע.</t>
  </si>
  <si>
    <t>כל המידע עדיין קיים — אבל הוא מפוזר על פני חמש טבלאות נפרדות. וזה, במקרה, בדיוק מה שאתן יודעות לעשות.</t>
  </si>
  <si>
    <t>כל תשובה נכונה חושפת ספרה אחת מקוד בן שש ספרות. שש ספרות — והתיק נפתח.</t>
  </si>
  <si>
    <t>התחנה</t>
  </si>
  <si>
    <t>סוג החיפוש</t>
  </si>
  <si>
    <t>סטטוס</t>
  </si>
  <si>
    <t>ניקוד</t>
  </si>
  <si>
    <t>הספרה שנחשפה</t>
  </si>
  <si>
    <t>1️⃣  מי הלקוח שביצע את ההזמנה</t>
  </si>
  <si>
    <t>מדויק</t>
  </si>
  <si>
    <t>2️⃣  מה הוזמן, ומה המחיר</t>
  </si>
  <si>
    <t>3️⃣  השם שמאחורי המספר</t>
  </si>
  <si>
    <t>מדויק — טבלה הפוכה</t>
  </si>
  <si>
    <t>4️⃣  דמי משלוח לפי משקל</t>
  </si>
  <si>
    <t>לא מדויק</t>
  </si>
  <si>
    <t>5️⃣  אזור החלוקה לפי מיקוד</t>
  </si>
  <si>
    <t>6️⃣  הסכום הסופי</t>
  </si>
  <si>
    <t>הצלבה</t>
  </si>
  <si>
    <t>סה"כ ניקוד (מתוך 100)</t>
  </si>
  <si>
    <t>🔐 הקוד שנחשף עד כה</t>
  </si>
  <si>
    <t>🔑  כחול = נתון קבוע, אל תיגעו.   צהוב = כאן ואך ורק כאן כותבים.   ירוק = מתעדכן לבד.</t>
  </si>
  <si>
    <t>💡  נתקעתן? יש גיליון "עזרה" עם רמז עדין לכל תחנה. להשתמש בו זה לא לרמות — זה חלק מהמשחק.</t>
  </si>
  <si>
    <t>⚠️  תחנה 6 מסתמכת על תחנות 2 ו-4. אם היא לא מסתדרת — חזרו אחורה ובדקו אותן.</t>
  </si>
  <si>
    <t>📁 נתוני המערכת — כל הראיות במקום אחד</t>
  </si>
  <si>
    <t>חמש טבלאות. שימו לב לסדר העמודות בכל אחת — הוא לא תמיד מה שהייתן מצפות.</t>
  </si>
  <si>
    <t>טבלה א׳ — הזמנות</t>
  </si>
  <si>
    <t>מספר הזמנה</t>
  </si>
  <si>
    <t>מספר לקוח</t>
  </si>
  <si>
    <t>מק"ט</t>
  </si>
  <si>
    <t>כמות</t>
  </si>
  <si>
    <t>K-118</t>
  </si>
  <si>
    <t>K-305</t>
  </si>
  <si>
    <t>K-220</t>
  </si>
  <si>
    <t>K-410</t>
  </si>
  <si>
    <t>K-512</t>
  </si>
  <si>
    <t>טבלה ב׳ — לקוחות</t>
  </si>
  <si>
    <t>שם לקוח</t>
  </si>
  <si>
    <t>מיקוד</t>
  </si>
  <si>
    <t>עיר</t>
  </si>
  <si>
    <t>דנה אלמוג</t>
  </si>
  <si>
    <t>תל אביב</t>
  </si>
  <si>
    <t>יואב נחום</t>
  </si>
  <si>
    <t>חיפה</t>
  </si>
  <si>
    <t>רותם אביב</t>
  </si>
  <si>
    <t>רעננה</t>
  </si>
  <si>
    <t>שירה בן-דוד</t>
  </si>
  <si>
    <t>באר שבע</t>
  </si>
  <si>
    <t>אלון כרמי</t>
  </si>
  <si>
    <t>צפת</t>
  </si>
  <si>
    <t>מאיה שלו</t>
  </si>
  <si>
    <t>טבלה ג׳ — מוצרים</t>
  </si>
  <si>
    <t>שם מוצר</t>
  </si>
  <si>
    <t>מחיר ליחידה</t>
  </si>
  <si>
    <t>משקל ליחידה (ק"ג)</t>
  </si>
  <si>
    <t>מקלדת אלחוטית</t>
  </si>
  <si>
    <t>רמקול שולחני</t>
  </si>
  <si>
    <t>עכבר ארגונומי</t>
  </si>
  <si>
    <t>מצלמת רשת</t>
  </si>
  <si>
    <t>מעמד למחשב נייד</t>
  </si>
  <si>
    <t>טבלה ד׳ — מדרגות דמי משלוח</t>
  </si>
  <si>
    <t>משקל מ- (ק"ג)</t>
  </si>
  <si>
    <t>דמי משלוח</t>
  </si>
  <si>
    <t>טבלה ה׳ — אזורי חלוקה לפי מיקוד</t>
  </si>
  <si>
    <t>מיקוד מ-</t>
  </si>
  <si>
    <t>אזור</t>
  </si>
  <si>
    <t>קוד אזור</t>
  </si>
  <si>
    <t>צפון</t>
  </si>
  <si>
    <t>חיפה והסביבה</t>
  </si>
  <si>
    <t>מרכז</t>
  </si>
  <si>
    <t>דרום</t>
  </si>
  <si>
    <t>1️⃣ תחנה 1 — מי הלקוח שביצע את ההזמנה</t>
  </si>
  <si>
    <t>הדבר הראשון שרוצים לדעת על הזמנה 404: מי בכלל הזמין אותה.</t>
  </si>
  <si>
    <t>עברו לגיליון "נתוני המערכת", טבלה א׳ (הזמנות), וחפשו את הזמנה 404. מה מספר הלקוח שרשום לידה?</t>
  </si>
  <si>
    <t>כתבו נוסחת XLOOKUP בתא הצהוב — לא להעתיק בעיניים. זו כל הנקודה.</t>
  </si>
  <si>
    <t>מספר הלקוח של הזמנה 404:</t>
  </si>
  <si>
    <t>💡 נתקעתן? גיליון "עזרה" ← תחנה 1</t>
  </si>
  <si>
    <t>↩️ חזרה ל"לוח בקרה" כדי לראות אילו ספרות כבר נחשפו.</t>
  </si>
  <si>
    <t>2️⃣ תחנה 2 — מה הוזמן, ומה המחיר</t>
  </si>
  <si>
    <t>עכשיו נגלה מה הלקוח בכלל הזמין. בטבלה א׳ רשום מק"ט לכל הזמנה, ובטבלה ג׳ (מוצרים) רשום מה כל מק"ט אומר.</t>
  </si>
  <si>
    <t>זה דורש שני חיפושים בשרשרת: קודם המק"ט של הזמנה 404, ואז המחיר של אותו מק"ט.</t>
  </si>
  <si>
    <t>אפשר לעשות את זה בשני שלבים (בשני תאים), או בנוסחה אחת מקוננת — שתיהן תשובות נכונות.</t>
  </si>
  <si>
    <t>המחיר ליחידה של המוצר שהוזמן (₪):</t>
  </si>
  <si>
    <t>💡 נתקעתן? גיליון "עזרה" ← תחנה 2</t>
  </si>
  <si>
    <t>3️⃣ תחנה 3 — השם שמאחורי המספר</t>
  </si>
  <si>
    <t>יש לנו מספר לקוח (מתחנה 1), ואנחנו רוצים שם.</t>
  </si>
  <si>
    <t>⚠️ שימו לב לטבלה ב׳ (לקוחות): עמודת השם נמצאת *לפני* עמודת מספר הלקוח. ב-VLOOKUP זה היה בלתי אפשרי בלי טריקים.</t>
  </si>
  <si>
    <t>ב-XLOOKUP לא צריך לעשות שום דבר מיוחד — רק לסמן את עמודת החיפוש ואת עמודת התשובה, בסדר הנכון.</t>
  </si>
  <si>
    <t>שם הלקוח של הזמנה 404:</t>
  </si>
  <si>
    <t>💡 נתקעתן? גיליון "עזרה" ← תחנה 3</t>
  </si>
  <si>
    <t>4️⃣ תחנה 4 — דמי משלוח לפי משקל</t>
  </si>
  <si>
    <t>כדי לשחזר את ההזמנה צריך גם את דמי המשלוח. הם נקבעים לפי המשקל הכולל של החבילה.</t>
  </si>
  <si>
    <t>המשקל הכולל = הכמות שהוזמנה × משקל היחידה של המוצר (שתיהן בנתוני המערכת).</t>
  </si>
  <si>
    <t>⚠️ המשקל שיצא לכן כמעט בוודאות לא מופיע בטבלת המדרגות — ובכוונה. זו בדיוק המדרגה שמתחת.</t>
  </si>
  <si>
    <t>דמי המשלוח של הזמנה 404 (₪):</t>
  </si>
  <si>
    <t>💡 נתקעתן? גיליון "עזרה" ← תחנה 4</t>
  </si>
  <si>
    <t>5️⃣ תחנה 5 — אזור החלוקה</t>
  </si>
  <si>
    <t>לאן החבילה הייתה אמורה להגיע? לכל לקוח יש מיקוד (טבלה ב׳), ולכל טווח מיקודים יש קוד אזור (טבלה ה׳).</t>
  </si>
  <si>
    <t>קחו את המיקוד של הלקוח שמצאתן, ומצאו את קוד האזור שלו.</t>
  </si>
  <si>
    <t>⚠️ גם כאן: המיקוד המדויק לא מופיע בטבלת האזורים. הטבלה מגדירה נקודות פתיחה של טווחים.</t>
  </si>
  <si>
    <t>קוד אזור החלוקה:</t>
  </si>
  <si>
    <t>💡 נתקעתן? גיליון "עזרה" ← תחנה 5</t>
  </si>
  <si>
    <t>6️⃣ תחנה 6 — הסכום הסופי</t>
  </si>
  <si>
    <t>התחנה האחרונה מחברת את הכול. הסכום שהלקוח היה אמור לשלם:</t>
  </si>
  <si>
    <t>(כמות × מחיר ליחידה) + דמי משלוח</t>
  </si>
  <si>
    <t>כל שלושת הנתונים כבר בידיכן — שניים מהם מתחנות קודמות. אם המספר לא מסתדר, בדקו קודם את תחנות 2 ו-4.</t>
  </si>
  <si>
    <t>הסכום הכולל של הזמנה 404 (₪):</t>
  </si>
  <si>
    <t>💡 נתקעתן? גיליון "עזרה" ← תחנה 6</t>
  </si>
  <si>
    <t>🔓 פתיחת התיק</t>
  </si>
  <si>
    <t>כשכל שש הספרות נחשפו בלוח הבקרה — הקלידו כאן את הקוד המלא.</t>
  </si>
  <si>
    <t>הקוד בן שש הספרות:</t>
  </si>
  <si>
    <t>🏆 סיימתן? חזרו ללומדה, ליחידה "תיק 404 — חדר הבריחה", והקלידו שם את הקוד.</t>
  </si>
  <si>
    <t>💡 עזרה ורמזים</t>
  </si>
  <si>
    <t>קודם נסו לבד. אם עדיין קשה — הרמז העדין כאן נועד לכוון, לא לפתור.</t>
  </si>
  <si>
    <t>תחנה</t>
  </si>
  <si>
    <t>רמז עדין</t>
  </si>
  <si>
    <t>איפה להסתכל</t>
  </si>
  <si>
    <t>1</t>
  </si>
  <si>
    <t>מה מחפשים = מספר ההזמנה (404). איפה מחפשים = עמודת מספרי ההזמנה. מה מחזירים = עמודת מספרי הלקוח.</t>
  </si>
  <si>
    <t>טבלה א׳</t>
  </si>
  <si>
    <t>2</t>
  </si>
  <si>
    <t>שני שלבים: קודם מצאו את המק"ט של הזמנה 404, ואז חפשו את המק"ט הזה בטבלת המוצרים. אפשר להשתמש בתא ביניים.</t>
  </si>
  <si>
    <t>טבלאות א׳ + ג׳</t>
  </si>
  <si>
    <t>3</t>
  </si>
  <si>
    <t>עמודת החיפוש היא עמודת מספר הלקוח. עמודת התשובה היא עמודת השם — שנמצאת לפניה. זה לא משנה כלום.</t>
  </si>
  <si>
    <t>טבלה ב׳</t>
  </si>
  <si>
    <t>4</t>
  </si>
  <si>
    <t>קודם חשבו את המשקל: כמות × משקל ליחידה. רק אחר כך חפשו במדרגות — עם שני פסיקים ו-1- בסוף.</t>
  </si>
  <si>
    <t>טבלאות א׳ + ג׳ + ד׳</t>
  </si>
  <si>
    <t>5</t>
  </si>
  <si>
    <t>המיקוד נמצא בטבלת הלקוחות, לפי מספר הלקוח שמצאתן. ואז חיפוש לא מדויק בטבלת האזורים.</t>
  </si>
  <si>
    <t>טבלאות ב׳ + ה׳</t>
  </si>
  <si>
    <t>6</t>
  </si>
  <si>
    <t>זה כבר לא חיפוש — זה חשבון. כמות × מחיר, ועוד דמי משלוח.</t>
  </si>
  <si>
    <t>התשובות שלכן מתחנות 2 ו-4</t>
  </si>
  <si>
    <t>🛠️ תקלות נפוצות</t>
  </si>
  <si>
    <t>‎#N/A‎ — לא נמצא. בדקו שהערך שאתן מחפשות באמת קיים בעמודה שסימנתן, ושאין רווח מיותר.</t>
  </si>
  <si>
    <t>‎#VALUE!‎ — עמודת החיפוש ועמודת התשובה לא באותו גודל. השוו את מספרי השורות בנוסחה.</t>
  </si>
  <si>
    <t>‎#NAME?‎ — גרסת האקסל לא מכירה את XLOOKUP (2019 ומטה). הנוסחה שלכן תקינה; נסו בגוגל שיטס.</t>
  </si>
  <si>
    <t>תוצאה סבירה אבל שגויה במדרגות — כנראה נכתב 1 במקום ‎-1‎, או שחסר פסיק.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</si>
</sst>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 ₪"/>
    <numFmt numFmtId="165" formatCode="0.0"/>
    <numFmt numFmtId="166" formatCode="000000"/>
  </numFmts>
  <fonts count="15" x14ac:knownFonts="1">
    <font>
      <color theme="1"/>
      <family val="2"/>
      <scheme val="minor"/>
      <sz val="11"/>
      <name val="Calibri"/>
    </font>
    <font>
      <b/>
      <color rgb="FFFFFFFF"/>
      <sz val="15"/>
    </font>
    <font>
      <color rgb="FF404040"/>
      <sz val="11"/>
    </font>
    <font>
      <b/>
      <color rgb="FF1F4E79"/>
      <sz val="11"/>
    </font>
    <font>
      <b/>
      <color rgb="FFFFFFFF"/>
      <sz val="11"/>
    </font>
    <font>
      <b/>
      <color rgb="FF1F4E79"/>
    </font>
    <font>
      <b/>
      <color rgb="FF1F3864"/>
      <sz val="16"/>
    </font>
    <font>
      <b/>
      <sz val="14"/>
    </font>
    <font>
      <b/>
      <color rgb="FF1F3864"/>
      <sz val="15"/>
    </font>
    <font>
      <b/>
      <color rgb="FF1F3864"/>
      <sz val="22"/>
    </font>
    <font>
      <color rgb="FF1F4E79"/>
      <sz val="11"/>
    </font>
    <font>
      <b/>
      <sz val="12"/>
    </font>
    <font>
      <b/>
      <sz val="13"/>
    </font>
    <font>
      <b/>
      <sz val="18"/>
    </font>
    <font>
      <b/>
      <color rgb="FF1F3864"/>
      <sz val="13"/>
    </font>
  </fonts>
  <fills count="7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CE9F7"/>
      </patternFill>
    </fill>
    <fill>
      <patternFill patternType="solid">
        <fgColor rgb="FFE2EFDA"/>
      </patternFill>
    </fill>
    <fill>
      <patternFill patternType="solid">
        <fgColor rgb="FFFFE69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166" fontId="13" fillId="6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"/>
  <sheetViews>
    <sheetView workbookViewId="0" rightToLeft="1" showGridLines="0"/>
  </sheetViews>
  <sheetFormatPr defaultRowHeight="15" outlineLevelRow="0" outlineLevelCol="0" x14ac:dyDescent="55"/>
  <cols>
    <col min="1" max="1" width="34" customWidth="1"/>
    <col min="2" max="3" width="16" customWidth="1"/>
    <col min="4" max="4" width="14" customWidth="1"/>
    <col min="5" max="5" width="26" customWidth="1"/>
    <col min="6" max="8" width="10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3" t="s">
        <v>3</v>
      </c>
      <c r="B4" s="3"/>
      <c r="C4" s="3"/>
      <c r="D4" s="3"/>
      <c r="E4" s="3"/>
      <c r="F4" s="3"/>
      <c r="G4" s="3"/>
      <c r="H4" s="3"/>
    </row>
    <row r="6" ht="26" customHeight="1" spans="1:5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</row>
    <row r="7" ht="24" customHeight="1" spans="1:5" x14ac:dyDescent="0.25">
      <c r="A7" s="5" t="s">
        <v>9</v>
      </c>
      <c r="B7" s="6" t="s">
        <v>10</v>
      </c>
      <c r="C7" s="7">
        <f>IF('תחנה 1'!B6="","⬜ טרם",IF('תחנה 1'!B6=3187,"✔ הושלם","✖ בדקו שוב"))</f>
      </c>
      <c r="D7" s="7">
        <f>IF(AND(NOT('תחנה 1'!B6=""),'תחנה 1'!B6=3187),15,0)</f>
      </c>
      <c r="E7" s="8">
        <f>IF(AND(NOT('תחנה 1'!B6=""),'תחנה 1'!B6=3187),"4","🔒")</f>
      </c>
    </row>
    <row r="8" ht="24" customHeight="1" spans="1:5" x14ac:dyDescent="0.25">
      <c r="A8" s="5" t="s">
        <v>11</v>
      </c>
      <c r="B8" s="6" t="s">
        <v>10</v>
      </c>
      <c r="C8" s="7">
        <f>IF('תחנה 2'!B6="","⬜ טרם",IF('תחנה 2'!B6=52,"✔ הושלם","✖ בדקו שוב"))</f>
      </c>
      <c r="D8" s="7">
        <f>IF(AND(NOT('תחנה 2'!B6=""),'תחנה 2'!B6=52),15,0)</f>
      </c>
      <c r="E8" s="8">
        <f>IF(AND(NOT('תחנה 2'!B6=""),'תחנה 2'!B6=52),"0","🔒")</f>
      </c>
    </row>
    <row r="9" ht="24" customHeight="1" spans="1:5" x14ac:dyDescent="0.25">
      <c r="A9" s="5" t="s">
        <v>12</v>
      </c>
      <c r="B9" s="6" t="s">
        <v>13</v>
      </c>
      <c r="C9" s="7">
        <f>IF('תחנה 3'!B6="","⬜ טרם",IF(TRIM('תחנה 3'!B6)="רותם אביב","✔ הושלם","✖ בדקו שוב"))</f>
      </c>
      <c r="D9" s="7">
        <f>IF(AND(NOT('תחנה 3'!B6=""),TRIM('תחנה 3'!B6)="רותם אביב"),15,0)</f>
      </c>
      <c r="E9" s="8">
        <f>IF(AND(NOT('תחנה 3'!B6=""),TRIM('תחנה 3'!B6)="רותם אביב"),"2","🔒")</f>
      </c>
    </row>
    <row r="10" ht="24" customHeight="1" spans="1:5" x14ac:dyDescent="0.25">
      <c r="A10" s="5" t="s">
        <v>14</v>
      </c>
      <c r="B10" s="6" t="s">
        <v>15</v>
      </c>
      <c r="C10" s="7">
        <f>IF('תחנה 4'!B6="","⬜ טרם",IF('תחנה 4'!B6=39,"✔ הושלם","✖ בדקו שוב"))</f>
      </c>
      <c r="D10" s="7">
        <f>IF(AND(NOT('תחנה 4'!B6=""),'תחנה 4'!B6=39),15,0)</f>
      </c>
      <c r="E10" s="8">
        <f>IF(AND(NOT('תחנה 4'!B6=""),'תחנה 4'!B6=39),"9","🔒")</f>
      </c>
    </row>
    <row r="11" ht="24" customHeight="1" spans="1:5" x14ac:dyDescent="0.25">
      <c r="A11" s="5" t="s">
        <v>16</v>
      </c>
      <c r="B11" s="6" t="s">
        <v>15</v>
      </c>
      <c r="C11" s="7">
        <f>IF('תחנה 5'!B6="","⬜ טרם",IF('תחנה 5'!B6=33,"✔ הושלם","✖ בדקו שוב"))</f>
      </c>
      <c r="D11" s="7">
        <f>IF(AND(NOT('תחנה 5'!B6=""),'תחנה 5'!B6=33),15,0)</f>
      </c>
      <c r="E11" s="8">
        <f>IF(AND(NOT('תחנה 5'!B6=""),'תחנה 5'!B6=33),"1","🔒")</f>
      </c>
    </row>
    <row r="12" ht="24" customHeight="1" spans="1:5" x14ac:dyDescent="0.25">
      <c r="A12" s="5" t="s">
        <v>17</v>
      </c>
      <c r="B12" s="6" t="s">
        <v>18</v>
      </c>
      <c r="C12" s="7">
        <f>IF('תחנה 6'!B6="","⬜ טרם",IF('תחנה 6'!B6=351,"✔ הושלם","✖ בדקו שוב"))</f>
      </c>
      <c r="D12" s="7">
        <f>IF(AND(NOT('תחנה 6'!B6=""),'תחנה 6'!B6=351),25,0)</f>
      </c>
      <c r="E12" s="8">
        <f>IF(AND(NOT('תחנה 6'!B6=""),'תחנה 6'!B6=351),"7","🔒")</f>
      </c>
    </row>
    <row r="13" spans="1:4" x14ac:dyDescent="0.25">
      <c r="A13" s="5" t="s">
        <v>19</v>
      </c>
      <c r="D13" s="9">
        <f>SUM(D7:D12)</f>
      </c>
    </row>
    <row r="15" ht="28" customHeight="1" spans="1:8" x14ac:dyDescent="0.25">
      <c r="A15" s="10" t="s">
        <v>20</v>
      </c>
      <c r="B15" s="10"/>
      <c r="C15" s="10"/>
      <c r="D15" s="10"/>
      <c r="E15" s="10"/>
      <c r="F15" s="10"/>
      <c r="G15" s="10"/>
      <c r="H15" s="10"/>
    </row>
    <row r="16" ht="40" customHeight="1" spans="1:4" x14ac:dyDescent="0.25">
      <c r="A16" s="11">
        <f>IF(COUNTIF(E7:E12,"🔒")&gt;0,IF(COUNTIF(E7:E12,"🔒")=1,"עדיין נעול — ספרה אחת חסרה","עדיין נעול — " &amp; COUNTIF(E7:E12,"🔒") &amp; " ספרות חסרות"),E7&amp;E8&amp;E9&amp;E10&amp;E11&amp;E12)</f>
      </c>
      <c r="B16" s="11"/>
      <c r="C16" s="11"/>
      <c r="D16" s="11"/>
    </row>
    <row r="18" spans="1:8" x14ac:dyDescent="0.25">
      <c r="A18" s="12" t="s">
        <v>21</v>
      </c>
      <c r="B18" s="12"/>
      <c r="C18" s="12"/>
      <c r="D18" s="12"/>
      <c r="E18" s="12"/>
      <c r="F18" s="12"/>
      <c r="G18" s="12"/>
      <c r="H18" s="12"/>
    </row>
    <row r="19" spans="1:8" x14ac:dyDescent="0.25">
      <c r="A19" s="2" t="s">
        <v>22</v>
      </c>
      <c r="B19" s="2"/>
      <c r="C19" s="2"/>
      <c r="D19" s="2"/>
      <c r="E19" s="2"/>
      <c r="F19" s="2"/>
      <c r="G19" s="2"/>
      <c r="H19" s="2"/>
    </row>
    <row r="20" spans="1:8" x14ac:dyDescent="0.25">
      <c r="A20" s="2" t="s">
        <v>23</v>
      </c>
      <c r="B20" s="2"/>
      <c r="C20" s="2"/>
      <c r="D20" s="2"/>
      <c r="E20" s="2"/>
      <c r="F20" s="2"/>
      <c r="G20" s="2"/>
      <c r="H20" s="2"/>
    </row>
  </sheetData>
  <mergeCells count="9">
    <mergeCell ref="A1:H1"/>
    <mergeCell ref="A2:H2"/>
    <mergeCell ref="A3:H3"/>
    <mergeCell ref="A4:H4"/>
    <mergeCell ref="A15:H15"/>
    <mergeCell ref="A16:D16"/>
    <mergeCell ref="A18:H18"/>
    <mergeCell ref="A19:H19"/>
    <mergeCell ref="A20:H20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"/>
  <sheetViews>
    <sheetView workbookViewId="0" rightToLeft="1" showGridLines="0"/>
  </sheetViews>
  <sheetFormatPr defaultRowHeight="15" outlineLevelRow="0" outlineLevelCol="0" x14ac:dyDescent="55"/>
  <cols>
    <col min="1" max="1" width="22" customWidth="1"/>
    <col min="2" max="3" width="20" customWidth="1"/>
    <col min="4" max="4" width="18" customWidth="1"/>
    <col min="5" max="6" width="16" customWidth="1"/>
  </cols>
  <sheetData>
    <row r="1" ht="28" customHeight="1" spans="1:6" x14ac:dyDescent="0.25">
      <c r="A1" s="1" t="s">
        <v>24</v>
      </c>
      <c r="B1" s="1"/>
      <c r="C1" s="1"/>
      <c r="D1" s="1"/>
      <c r="E1" s="1"/>
      <c r="F1" s="1"/>
    </row>
    <row r="2" spans="1:6" x14ac:dyDescent="0.25">
      <c r="A2" s="2" t="s">
        <v>25</v>
      </c>
      <c r="B2" s="2"/>
      <c r="C2" s="2"/>
      <c r="D2" s="2"/>
      <c r="E2" s="2"/>
      <c r="F2" s="2"/>
    </row>
    <row r="4" spans="1:6" x14ac:dyDescent="0.25">
      <c r="A4" s="3" t="s">
        <v>26</v>
      </c>
      <c r="B4" s="3"/>
      <c r="C4" s="3"/>
      <c r="D4" s="3"/>
      <c r="E4" s="3"/>
      <c r="F4" s="3"/>
    </row>
    <row r="5" ht="26" customHeight="1" spans="1:4" x14ac:dyDescent="0.25">
      <c r="A5" s="4" t="s">
        <v>27</v>
      </c>
      <c r="B5" s="4" t="s">
        <v>28</v>
      </c>
      <c r="C5" s="4" t="s">
        <v>29</v>
      </c>
      <c r="D5" s="4" t="s">
        <v>30</v>
      </c>
    </row>
    <row r="6" spans="1:4" x14ac:dyDescent="0.25">
      <c r="A6" s="13">
        <v>401</v>
      </c>
      <c r="B6" s="13">
        <v>2044</v>
      </c>
      <c r="C6" s="5" t="s">
        <v>31</v>
      </c>
      <c r="D6" s="13">
        <v>3</v>
      </c>
    </row>
    <row r="7" spans="1:4" x14ac:dyDescent="0.25">
      <c r="A7" s="13">
        <v>402</v>
      </c>
      <c r="B7" s="13">
        <v>3187</v>
      </c>
      <c r="C7" s="5" t="s">
        <v>32</v>
      </c>
      <c r="D7" s="13">
        <v>1</v>
      </c>
    </row>
    <row r="8" spans="1:4" x14ac:dyDescent="0.25">
      <c r="A8" s="13">
        <v>403</v>
      </c>
      <c r="B8" s="13">
        <v>5521</v>
      </c>
      <c r="C8" s="5" t="s">
        <v>33</v>
      </c>
      <c r="D8" s="13">
        <v>12</v>
      </c>
    </row>
    <row r="9" spans="1:4" x14ac:dyDescent="0.25">
      <c r="A9" s="13">
        <v>404</v>
      </c>
      <c r="B9" s="13">
        <v>3187</v>
      </c>
      <c r="C9" s="5" t="s">
        <v>33</v>
      </c>
      <c r="D9" s="13">
        <v>6</v>
      </c>
    </row>
    <row r="10" spans="1:4" x14ac:dyDescent="0.25">
      <c r="A10" s="13">
        <v>405</v>
      </c>
      <c r="B10" s="13">
        <v>1290</v>
      </c>
      <c r="C10" s="5" t="s">
        <v>34</v>
      </c>
      <c r="D10" s="13">
        <v>2</v>
      </c>
    </row>
    <row r="11" spans="1:4" x14ac:dyDescent="0.25">
      <c r="A11" s="13">
        <v>406</v>
      </c>
      <c r="B11" s="13">
        <v>4763</v>
      </c>
      <c r="C11" s="5" t="s">
        <v>31</v>
      </c>
      <c r="D11" s="13">
        <v>8</v>
      </c>
    </row>
    <row r="12" spans="1:4" x14ac:dyDescent="0.25">
      <c r="A12" s="13">
        <v>407</v>
      </c>
      <c r="B12" s="13">
        <v>2044</v>
      </c>
      <c r="C12" s="5" t="s">
        <v>35</v>
      </c>
      <c r="D12" s="13">
        <v>5</v>
      </c>
    </row>
    <row r="13" spans="1:4" x14ac:dyDescent="0.25">
      <c r="A13" s="13">
        <v>408</v>
      </c>
      <c r="B13" s="13">
        <v>5521</v>
      </c>
      <c r="C13" s="5" t="s">
        <v>32</v>
      </c>
      <c r="D13" s="13">
        <v>4</v>
      </c>
    </row>
    <row r="14" spans="1:4" x14ac:dyDescent="0.25">
      <c r="A14" s="13">
        <v>409</v>
      </c>
      <c r="B14" s="13">
        <v>6108</v>
      </c>
      <c r="C14" s="5" t="s">
        <v>33</v>
      </c>
      <c r="D14" s="13">
        <v>1</v>
      </c>
    </row>
    <row r="15" spans="1:4" x14ac:dyDescent="0.25">
      <c r="A15" s="13">
        <v>410</v>
      </c>
      <c r="B15" s="13">
        <v>1290</v>
      </c>
      <c r="C15" s="5" t="s">
        <v>34</v>
      </c>
      <c r="D15" s="13">
        <v>9</v>
      </c>
    </row>
    <row r="16" spans="1:4" x14ac:dyDescent="0.25">
      <c r="A16" s="13">
        <v>411</v>
      </c>
      <c r="B16" s="13">
        <v>4763</v>
      </c>
      <c r="C16" s="5" t="s">
        <v>35</v>
      </c>
      <c r="D16" s="13">
        <v>2</v>
      </c>
    </row>
    <row r="17" spans="1:4" x14ac:dyDescent="0.25">
      <c r="A17" s="13">
        <v>412</v>
      </c>
      <c r="B17" s="13">
        <v>6108</v>
      </c>
      <c r="C17" s="5" t="s">
        <v>31</v>
      </c>
      <c r="D17" s="13">
        <v>7</v>
      </c>
    </row>
    <row r="19" spans="1:6" x14ac:dyDescent="0.25">
      <c r="A19" s="3" t="s">
        <v>36</v>
      </c>
      <c r="B19" s="3"/>
      <c r="C19" s="3"/>
      <c r="D19" s="3"/>
      <c r="E19" s="3"/>
      <c r="F19" s="3"/>
    </row>
    <row r="20" ht="26" customHeight="1" spans="1:4" x14ac:dyDescent="0.25">
      <c r="A20" s="4" t="s">
        <v>37</v>
      </c>
      <c r="B20" s="4" t="s">
        <v>28</v>
      </c>
      <c r="C20" s="4" t="s">
        <v>38</v>
      </c>
      <c r="D20" s="4" t="s">
        <v>39</v>
      </c>
    </row>
    <row r="21" spans="1:4" x14ac:dyDescent="0.25">
      <c r="A21" s="5" t="s">
        <v>40</v>
      </c>
      <c r="B21" s="13">
        <v>1290</v>
      </c>
      <c r="C21" s="13">
        <v>6407</v>
      </c>
      <c r="D21" s="5" t="s">
        <v>41</v>
      </c>
    </row>
    <row r="22" spans="1:4" x14ac:dyDescent="0.25">
      <c r="A22" s="5" t="s">
        <v>42</v>
      </c>
      <c r="B22" s="13">
        <v>2044</v>
      </c>
      <c r="C22" s="13">
        <v>3109</v>
      </c>
      <c r="D22" s="5" t="s">
        <v>43</v>
      </c>
    </row>
    <row r="23" spans="1:4" x14ac:dyDescent="0.25">
      <c r="A23" s="5" t="s">
        <v>44</v>
      </c>
      <c r="B23" s="13">
        <v>3187</v>
      </c>
      <c r="C23" s="13">
        <v>4520</v>
      </c>
      <c r="D23" s="5" t="s">
        <v>45</v>
      </c>
    </row>
    <row r="24" spans="1:4" x14ac:dyDescent="0.25">
      <c r="A24" s="5" t="s">
        <v>46</v>
      </c>
      <c r="B24" s="13">
        <v>4763</v>
      </c>
      <c r="C24" s="13">
        <v>8410</v>
      </c>
      <c r="D24" s="5" t="s">
        <v>47</v>
      </c>
    </row>
    <row r="25" spans="1:4" x14ac:dyDescent="0.25">
      <c r="A25" s="5" t="s">
        <v>48</v>
      </c>
      <c r="B25" s="13">
        <v>5521</v>
      </c>
      <c r="C25" s="13">
        <v>1220</v>
      </c>
      <c r="D25" s="5" t="s">
        <v>49</v>
      </c>
    </row>
    <row r="26" spans="1:4" x14ac:dyDescent="0.25">
      <c r="A26" s="5" t="s">
        <v>50</v>
      </c>
      <c r="B26" s="13">
        <v>6108</v>
      </c>
      <c r="C26" s="13">
        <v>6120</v>
      </c>
      <c r="D26" s="5" t="s">
        <v>41</v>
      </c>
    </row>
    <row r="28" spans="1:6" x14ac:dyDescent="0.25">
      <c r="A28" s="3" t="s">
        <v>51</v>
      </c>
      <c r="B28" s="3"/>
      <c r="C28" s="3"/>
      <c r="D28" s="3"/>
      <c r="E28" s="3"/>
      <c r="F28" s="3"/>
    </row>
    <row r="29" ht="26" customHeight="1" spans="1:4" x14ac:dyDescent="0.25">
      <c r="A29" s="4" t="s">
        <v>29</v>
      </c>
      <c r="B29" s="4" t="s">
        <v>52</v>
      </c>
      <c r="C29" s="4" t="s">
        <v>53</v>
      </c>
      <c r="D29" s="4" t="s">
        <v>54</v>
      </c>
    </row>
    <row r="30" spans="1:4" x14ac:dyDescent="0.25">
      <c r="A30" s="5" t="s">
        <v>31</v>
      </c>
      <c r="B30" s="5" t="s">
        <v>55</v>
      </c>
      <c r="C30" s="14">
        <v>120</v>
      </c>
      <c r="D30" s="15">
        <v>0.8</v>
      </c>
    </row>
    <row r="31" spans="1:4" x14ac:dyDescent="0.25">
      <c r="A31" s="5" t="s">
        <v>33</v>
      </c>
      <c r="B31" s="5" t="s">
        <v>56</v>
      </c>
      <c r="C31" s="14">
        <v>52</v>
      </c>
      <c r="D31" s="15">
        <v>3</v>
      </c>
    </row>
    <row r="32" spans="1:4" x14ac:dyDescent="0.25">
      <c r="A32" s="5" t="s">
        <v>32</v>
      </c>
      <c r="B32" s="5" t="s">
        <v>57</v>
      </c>
      <c r="C32" s="14">
        <v>89</v>
      </c>
      <c r="D32" s="15">
        <v>0.4</v>
      </c>
    </row>
    <row r="33" spans="1:4" x14ac:dyDescent="0.25">
      <c r="A33" s="5" t="s">
        <v>34</v>
      </c>
      <c r="B33" s="5" t="s">
        <v>58</v>
      </c>
      <c r="C33" s="14">
        <v>210</v>
      </c>
      <c r="D33" s="15">
        <v>0.5</v>
      </c>
    </row>
    <row r="34" spans="1:4" x14ac:dyDescent="0.25">
      <c r="A34" s="5" t="s">
        <v>35</v>
      </c>
      <c r="B34" s="5" t="s">
        <v>59</v>
      </c>
      <c r="C34" s="14">
        <v>145</v>
      </c>
      <c r="D34" s="15">
        <v>1.2</v>
      </c>
    </row>
    <row r="36" spans="1:6" x14ac:dyDescent="0.25">
      <c r="A36" s="3" t="s">
        <v>60</v>
      </c>
      <c r="B36" s="3"/>
      <c r="C36" s="3"/>
      <c r="D36" s="3"/>
      <c r="E36" s="3"/>
      <c r="F36" s="3"/>
    </row>
    <row r="37" ht="26" customHeight="1" spans="1:2" x14ac:dyDescent="0.25">
      <c r="A37" s="4" t="s">
        <v>61</v>
      </c>
      <c r="B37" s="4" t="s">
        <v>62</v>
      </c>
    </row>
    <row r="38" spans="1:2" x14ac:dyDescent="0.25">
      <c r="A38" s="16">
        <v>0</v>
      </c>
      <c r="B38" s="14">
        <v>15</v>
      </c>
    </row>
    <row r="39" spans="1:2" x14ac:dyDescent="0.25">
      <c r="A39" s="16">
        <v>5</v>
      </c>
      <c r="B39" s="14">
        <v>25</v>
      </c>
    </row>
    <row r="40" spans="1:2" x14ac:dyDescent="0.25">
      <c r="A40" s="16">
        <v>10</v>
      </c>
      <c r="B40" s="14">
        <v>39</v>
      </c>
    </row>
    <row r="41" spans="1:2" x14ac:dyDescent="0.25">
      <c r="A41" s="16">
        <v>25</v>
      </c>
      <c r="B41" s="14">
        <v>60</v>
      </c>
    </row>
    <row r="42" spans="1:2" x14ac:dyDescent="0.25">
      <c r="A42" s="16">
        <v>50</v>
      </c>
      <c r="B42" s="14">
        <v>95</v>
      </c>
    </row>
    <row r="44" spans="1:6" x14ac:dyDescent="0.25">
      <c r="A44" s="3" t="s">
        <v>63</v>
      </c>
      <c r="B44" s="3"/>
      <c r="C44" s="3"/>
      <c r="D44" s="3"/>
      <c r="E44" s="3"/>
      <c r="F44" s="3"/>
    </row>
    <row r="45" ht="26" customHeight="1" spans="1:3" x14ac:dyDescent="0.25">
      <c r="A45" s="4" t="s">
        <v>64</v>
      </c>
      <c r="B45" s="4" t="s">
        <v>65</v>
      </c>
      <c r="C45" s="4" t="s">
        <v>66</v>
      </c>
    </row>
    <row r="46" spans="1:3" x14ac:dyDescent="0.25">
      <c r="A46" s="13">
        <v>1000</v>
      </c>
      <c r="B46" s="5" t="s">
        <v>67</v>
      </c>
      <c r="C46" s="13">
        <v>11</v>
      </c>
    </row>
    <row r="47" spans="1:3" x14ac:dyDescent="0.25">
      <c r="A47" s="13">
        <v>3000</v>
      </c>
      <c r="B47" s="5" t="s">
        <v>68</v>
      </c>
      <c r="C47" s="13">
        <v>22</v>
      </c>
    </row>
    <row r="48" spans="1:3" x14ac:dyDescent="0.25">
      <c r="A48" s="13">
        <v>4000</v>
      </c>
      <c r="B48" s="5" t="s">
        <v>69</v>
      </c>
      <c r="C48" s="13">
        <v>33</v>
      </c>
    </row>
    <row r="49" spans="1:3" x14ac:dyDescent="0.25">
      <c r="A49" s="13">
        <v>6000</v>
      </c>
      <c r="B49" s="5" t="s">
        <v>41</v>
      </c>
      <c r="C49" s="13">
        <v>44</v>
      </c>
    </row>
    <row r="50" spans="1:3" x14ac:dyDescent="0.25">
      <c r="A50" s="13">
        <v>8000</v>
      </c>
      <c r="B50" s="5" t="s">
        <v>70</v>
      </c>
      <c r="C50" s="13">
        <v>55</v>
      </c>
    </row>
  </sheetData>
  <mergeCells count="7">
    <mergeCell ref="A1:F1"/>
    <mergeCell ref="A2:F2"/>
    <mergeCell ref="A4:F4"/>
    <mergeCell ref="A19:F19"/>
    <mergeCell ref="A28:F28"/>
    <mergeCell ref="A36:F36"/>
    <mergeCell ref="A44:F4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workbookViewId="0" rightToLeft="1" showGridLines="0"/>
  </sheetViews>
  <sheetFormatPr defaultRowHeight="15" outlineLevelRow="0" outlineLevelCol="0" x14ac:dyDescent="55"/>
  <cols>
    <col min="1" max="1" width="32" customWidth="1"/>
    <col min="2" max="2" width="22" customWidth="1"/>
    <col min="3" max="3" width="26" customWidth="1"/>
    <col min="4" max="5" width="16" customWidth="1"/>
    <col min="6" max="6" width="8" customWidth="1"/>
  </cols>
  <sheetData>
    <row r="1" ht="28" customHeight="1" spans="1:5" x14ac:dyDescent="0.25">
      <c r="A1" s="1" t="s">
        <v>71</v>
      </c>
      <c r="B1" s="1"/>
      <c r="C1" s="1"/>
      <c r="D1" s="1"/>
      <c r="E1" s="1"/>
    </row>
    <row r="2" ht="20" customHeight="1" spans="1:5" x14ac:dyDescent="0.25">
      <c r="A2" s="2" t="s">
        <v>72</v>
      </c>
      <c r="B2" s="2"/>
      <c r="C2" s="2"/>
      <c r="D2" s="2"/>
      <c r="E2" s="2"/>
    </row>
    <row r="3" ht="30" customHeight="1" spans="1:5" x14ac:dyDescent="0.25">
      <c r="A3" s="2" t="s">
        <v>73</v>
      </c>
      <c r="B3" s="2"/>
      <c r="C3" s="2"/>
      <c r="D3" s="2"/>
      <c r="E3" s="2"/>
    </row>
    <row r="4" ht="20" customHeight="1" spans="1:5" x14ac:dyDescent="0.25">
      <c r="A4" s="2" t="s">
        <v>74</v>
      </c>
      <c r="B4" s="2"/>
      <c r="C4" s="2"/>
      <c r="D4" s="2"/>
      <c r="E4" s="2"/>
    </row>
    <row r="6" ht="30" customHeight="1" spans="1:3" x14ac:dyDescent="0.25">
      <c r="A6" s="17" t="s">
        <v>75</v>
      </c>
      <c r="B6" s="18"/>
      <c r="C6" s="7">
        <f>IF(B6="","⬜ ממתין לתשובה",IF(B6=3187,"✔ נכון — ספרה נחשפה!","✖ לא מדויק, נסו שוב"))</f>
      </c>
    </row>
    <row r="8" spans="1:5" x14ac:dyDescent="0.25">
      <c r="A8" s="2" t="s">
        <v>76</v>
      </c>
      <c r="B8" s="2"/>
      <c r="C8" s="2"/>
      <c r="D8" s="2"/>
      <c r="E8" s="2"/>
    </row>
    <row r="9" spans="1:5" x14ac:dyDescent="0.25">
      <c r="A9" s="2" t="s">
        <v>77</v>
      </c>
      <c r="B9" s="2"/>
      <c r="C9" s="2"/>
      <c r="D9" s="2"/>
      <c r="E9" s="2"/>
    </row>
  </sheetData>
  <mergeCells count="6">
    <mergeCell ref="A1:E1"/>
    <mergeCell ref="A2:E2"/>
    <mergeCell ref="A3:E3"/>
    <mergeCell ref="A4:E4"/>
    <mergeCell ref="A8:E8"/>
    <mergeCell ref="A9:E9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workbookViewId="0" rightToLeft="1" showGridLines="0"/>
  </sheetViews>
  <sheetFormatPr defaultRowHeight="15" outlineLevelRow="0" outlineLevelCol="0" x14ac:dyDescent="55"/>
  <cols>
    <col min="1" max="1" width="32" customWidth="1"/>
    <col min="2" max="2" width="22" customWidth="1"/>
    <col min="3" max="3" width="26" customWidth="1"/>
    <col min="4" max="5" width="16" customWidth="1"/>
    <col min="6" max="6" width="8" customWidth="1"/>
  </cols>
  <sheetData>
    <row r="1" ht="28" customHeight="1" spans="1:5" x14ac:dyDescent="0.25">
      <c r="A1" s="1" t="s">
        <v>78</v>
      </c>
      <c r="B1" s="1"/>
      <c r="C1" s="1"/>
      <c r="D1" s="1"/>
      <c r="E1" s="1"/>
    </row>
    <row r="2" ht="30" customHeight="1" spans="1:5" x14ac:dyDescent="0.25">
      <c r="A2" s="2" t="s">
        <v>79</v>
      </c>
      <c r="B2" s="2"/>
      <c r="C2" s="2"/>
      <c r="D2" s="2"/>
      <c r="E2" s="2"/>
    </row>
    <row r="3" ht="20" customHeight="1" spans="1:5" x14ac:dyDescent="0.25">
      <c r="A3" s="2" t="s">
        <v>80</v>
      </c>
      <c r="B3" s="2"/>
      <c r="C3" s="2"/>
      <c r="D3" s="2"/>
      <c r="E3" s="2"/>
    </row>
    <row r="4" ht="20" customHeight="1" spans="1:5" x14ac:dyDescent="0.25">
      <c r="A4" s="2" t="s">
        <v>81</v>
      </c>
      <c r="B4" s="2"/>
      <c r="C4" s="2"/>
      <c r="D4" s="2"/>
      <c r="E4" s="2"/>
    </row>
    <row r="6" ht="30" customHeight="1" spans="1:3" x14ac:dyDescent="0.25">
      <c r="A6" s="17" t="s">
        <v>82</v>
      </c>
      <c r="B6" s="19"/>
      <c r="C6" s="7">
        <f>IF(B6="","⬜ ממתין לתשובה",IF(B6=52,"✔ נכון — ספרה נחשפה!","✖ לא מדויק, נסו שוב"))</f>
      </c>
    </row>
    <row r="8" spans="1:5" x14ac:dyDescent="0.25">
      <c r="A8" s="2" t="s">
        <v>83</v>
      </c>
      <c r="B8" s="2"/>
      <c r="C8" s="2"/>
      <c r="D8" s="2"/>
      <c r="E8" s="2"/>
    </row>
    <row r="9" spans="1:5" x14ac:dyDescent="0.25">
      <c r="A9" s="2" t="s">
        <v>77</v>
      </c>
      <c r="B9" s="2"/>
      <c r="C9" s="2"/>
      <c r="D9" s="2"/>
      <c r="E9" s="2"/>
    </row>
  </sheetData>
  <mergeCells count="6">
    <mergeCell ref="A1:E1"/>
    <mergeCell ref="A2:E2"/>
    <mergeCell ref="A3:E3"/>
    <mergeCell ref="A4:E4"/>
    <mergeCell ref="A8:E8"/>
    <mergeCell ref="A9:E9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workbookViewId="0" rightToLeft="1" showGridLines="0"/>
  </sheetViews>
  <sheetFormatPr defaultRowHeight="15" outlineLevelRow="0" outlineLevelCol="0" x14ac:dyDescent="55"/>
  <cols>
    <col min="1" max="1" width="32" customWidth="1"/>
    <col min="2" max="2" width="22" customWidth="1"/>
    <col min="3" max="3" width="26" customWidth="1"/>
    <col min="4" max="5" width="16" customWidth="1"/>
    <col min="6" max="6" width="8" customWidth="1"/>
  </cols>
  <sheetData>
    <row r="1" ht="28" customHeight="1" spans="1:5" x14ac:dyDescent="0.25">
      <c r="A1" s="1" t="s">
        <v>84</v>
      </c>
      <c r="B1" s="1"/>
      <c r="C1" s="1"/>
      <c r="D1" s="1"/>
      <c r="E1" s="1"/>
    </row>
    <row r="2" ht="20" customHeight="1" spans="1:5" x14ac:dyDescent="0.25">
      <c r="A2" s="2" t="s">
        <v>85</v>
      </c>
      <c r="B2" s="2"/>
      <c r="C2" s="2"/>
      <c r="D2" s="2"/>
      <c r="E2" s="2"/>
    </row>
    <row r="3" ht="30" customHeight="1" spans="1:5" x14ac:dyDescent="0.25">
      <c r="A3" s="2" t="s">
        <v>86</v>
      </c>
      <c r="B3" s="2"/>
      <c r="C3" s="2"/>
      <c r="D3" s="2"/>
      <c r="E3" s="2"/>
    </row>
    <row r="4" ht="30" customHeight="1" spans="1:5" x14ac:dyDescent="0.25">
      <c r="A4" s="2" t="s">
        <v>87</v>
      </c>
      <c r="B4" s="2"/>
      <c r="C4" s="2"/>
      <c r="D4" s="2"/>
      <c r="E4" s="2"/>
    </row>
    <row r="6" ht="30" customHeight="1" spans="1:3" x14ac:dyDescent="0.25">
      <c r="A6" s="17" t="s">
        <v>88</v>
      </c>
      <c r="B6" s="18"/>
      <c r="C6" s="7">
        <f>IF(B6="","⬜ ממתין לתשובה",IF(TRIM(B6)="רותם אביב","✔ נכון — ספרה נחשפה!","✖ לא מדויק, נסו שוב"))</f>
      </c>
    </row>
    <row r="8" spans="1:5" x14ac:dyDescent="0.25">
      <c r="A8" s="2" t="s">
        <v>89</v>
      </c>
      <c r="B8" s="2"/>
      <c r="C8" s="2"/>
      <c r="D8" s="2"/>
      <c r="E8" s="2"/>
    </row>
    <row r="9" spans="1:5" x14ac:dyDescent="0.25">
      <c r="A9" s="2" t="s">
        <v>77</v>
      </c>
      <c r="B9" s="2"/>
      <c r="C9" s="2"/>
      <c r="D9" s="2"/>
      <c r="E9" s="2"/>
    </row>
  </sheetData>
  <mergeCells count="6">
    <mergeCell ref="A1:E1"/>
    <mergeCell ref="A2:E2"/>
    <mergeCell ref="A3:E3"/>
    <mergeCell ref="A4:E4"/>
    <mergeCell ref="A8:E8"/>
    <mergeCell ref="A9:E9"/>
  </mergeCells>
  <dataValidations count="1">
    <dataValidation type="list" allowBlank="1" showErrorMessage="1" errorTitle="בחרו מהרשימה" error="יש לבחור אחד מהשמות ברשימה." sqref="B6">
      <formula1>"דנה אלמוג,יואב נחום,רותם אביב,שירה בן-דוד,אלון כרמי,מאיה שלו"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workbookViewId="0" rightToLeft="1" showGridLines="0"/>
  </sheetViews>
  <sheetFormatPr defaultRowHeight="15" outlineLevelRow="0" outlineLevelCol="0" x14ac:dyDescent="55"/>
  <cols>
    <col min="1" max="1" width="32" customWidth="1"/>
    <col min="2" max="2" width="22" customWidth="1"/>
    <col min="3" max="3" width="26" customWidth="1"/>
    <col min="4" max="5" width="16" customWidth="1"/>
    <col min="6" max="6" width="8" customWidth="1"/>
  </cols>
  <sheetData>
    <row r="1" ht="28" customHeight="1" spans="1:5" x14ac:dyDescent="0.25">
      <c r="A1" s="1" t="s">
        <v>90</v>
      </c>
      <c r="B1" s="1"/>
      <c r="C1" s="1"/>
      <c r="D1" s="1"/>
      <c r="E1" s="1"/>
    </row>
    <row r="2" ht="20" customHeight="1" spans="1:5" x14ac:dyDescent="0.25">
      <c r="A2" s="2" t="s">
        <v>91</v>
      </c>
      <c r="B2" s="2"/>
      <c r="C2" s="2"/>
      <c r="D2" s="2"/>
      <c r="E2" s="2"/>
    </row>
    <row r="3" ht="20" customHeight="1" spans="1:5" x14ac:dyDescent="0.25">
      <c r="A3" s="2" t="s">
        <v>92</v>
      </c>
      <c r="B3" s="2"/>
      <c r="C3" s="2"/>
      <c r="D3" s="2"/>
      <c r="E3" s="2"/>
    </row>
    <row r="4" ht="20" customHeight="1" spans="1:5" x14ac:dyDescent="0.25">
      <c r="A4" s="2" t="s">
        <v>93</v>
      </c>
      <c r="B4" s="2"/>
      <c r="C4" s="2"/>
      <c r="D4" s="2"/>
      <c r="E4" s="2"/>
    </row>
    <row r="6" ht="30" customHeight="1" spans="1:3" x14ac:dyDescent="0.25">
      <c r="A6" s="17" t="s">
        <v>94</v>
      </c>
      <c r="B6" s="19"/>
      <c r="C6" s="7">
        <f>IF(B6="","⬜ ממתין לתשובה",IF(B6=39,"✔ נכון — ספרה נחשפה!","✖ לא מדויק, נסו שוב"))</f>
      </c>
    </row>
    <row r="8" spans="1:5" x14ac:dyDescent="0.25">
      <c r="A8" s="2" t="s">
        <v>95</v>
      </c>
      <c r="B8" s="2"/>
      <c r="C8" s="2"/>
      <c r="D8" s="2"/>
      <c r="E8" s="2"/>
    </row>
    <row r="9" spans="1:5" x14ac:dyDescent="0.25">
      <c r="A9" s="2" t="s">
        <v>77</v>
      </c>
      <c r="B9" s="2"/>
      <c r="C9" s="2"/>
      <c r="D9" s="2"/>
      <c r="E9" s="2"/>
    </row>
  </sheetData>
  <mergeCells count="6">
    <mergeCell ref="A1:E1"/>
    <mergeCell ref="A2:E2"/>
    <mergeCell ref="A3:E3"/>
    <mergeCell ref="A4:E4"/>
    <mergeCell ref="A8:E8"/>
    <mergeCell ref="A9:E9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workbookViewId="0" rightToLeft="1" showGridLines="0"/>
  </sheetViews>
  <sheetFormatPr defaultRowHeight="15" outlineLevelRow="0" outlineLevelCol="0" x14ac:dyDescent="55"/>
  <cols>
    <col min="1" max="1" width="32" customWidth="1"/>
    <col min="2" max="2" width="22" customWidth="1"/>
    <col min="3" max="3" width="26" customWidth="1"/>
    <col min="4" max="5" width="16" customWidth="1"/>
    <col min="6" max="6" width="8" customWidth="1"/>
  </cols>
  <sheetData>
    <row r="1" ht="28" customHeight="1" spans="1:5" x14ac:dyDescent="0.25">
      <c r="A1" s="1" t="s">
        <v>96</v>
      </c>
      <c r="B1" s="1"/>
      <c r="C1" s="1"/>
      <c r="D1" s="1"/>
      <c r="E1" s="1"/>
    </row>
    <row r="2" ht="30" customHeight="1" spans="1:5" x14ac:dyDescent="0.25">
      <c r="A2" s="2" t="s">
        <v>97</v>
      </c>
      <c r="B2" s="2"/>
      <c r="C2" s="2"/>
      <c r="D2" s="2"/>
      <c r="E2" s="2"/>
    </row>
    <row r="3" ht="20" customHeight="1" spans="1:5" x14ac:dyDescent="0.25">
      <c r="A3" s="2" t="s">
        <v>98</v>
      </c>
      <c r="B3" s="2"/>
      <c r="C3" s="2"/>
      <c r="D3" s="2"/>
      <c r="E3" s="2"/>
    </row>
    <row r="4" ht="20" customHeight="1" spans="1:5" x14ac:dyDescent="0.25">
      <c r="A4" s="2" t="s">
        <v>99</v>
      </c>
      <c r="B4" s="2"/>
      <c r="C4" s="2"/>
      <c r="D4" s="2"/>
      <c r="E4" s="2"/>
    </row>
    <row r="6" ht="30" customHeight="1" spans="1:3" x14ac:dyDescent="0.25">
      <c r="A6" s="17" t="s">
        <v>100</v>
      </c>
      <c r="B6" s="18"/>
      <c r="C6" s="7">
        <f>IF(B6="","⬜ ממתין לתשובה",IF(B6=33,"✔ נכון — ספרה נחשפה!","✖ לא מדויק, נסו שוב"))</f>
      </c>
    </row>
    <row r="8" spans="1:5" x14ac:dyDescent="0.25">
      <c r="A8" s="2" t="s">
        <v>101</v>
      </c>
      <c r="B8" s="2"/>
      <c r="C8" s="2"/>
      <c r="D8" s="2"/>
      <c r="E8" s="2"/>
    </row>
    <row r="9" spans="1:5" x14ac:dyDescent="0.25">
      <c r="A9" s="2" t="s">
        <v>77</v>
      </c>
      <c r="B9" s="2"/>
      <c r="C9" s="2"/>
      <c r="D9" s="2"/>
      <c r="E9" s="2"/>
    </row>
  </sheetData>
  <mergeCells count="6">
    <mergeCell ref="A1:E1"/>
    <mergeCell ref="A2:E2"/>
    <mergeCell ref="A3:E3"/>
    <mergeCell ref="A4:E4"/>
    <mergeCell ref="A8:E8"/>
    <mergeCell ref="A9:E9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workbookViewId="0" rightToLeft="1" showGridLines="0"/>
  </sheetViews>
  <sheetFormatPr defaultRowHeight="15" outlineLevelRow="0" outlineLevelCol="0" x14ac:dyDescent="55"/>
  <cols>
    <col min="1" max="1" width="32" customWidth="1"/>
    <col min="2" max="2" width="22" customWidth="1"/>
    <col min="3" max="3" width="26" customWidth="1"/>
    <col min="4" max="5" width="16" customWidth="1"/>
    <col min="6" max="6" width="8" customWidth="1"/>
  </cols>
  <sheetData>
    <row r="1" ht="28" customHeight="1" spans="1:5" x14ac:dyDescent="0.25">
      <c r="A1" s="1" t="s">
        <v>102</v>
      </c>
      <c r="B1" s="1"/>
      <c r="C1" s="1"/>
      <c r="D1" s="1"/>
      <c r="E1" s="1"/>
    </row>
    <row r="2" ht="20" customHeight="1" spans="1:5" x14ac:dyDescent="0.25">
      <c r="A2" s="2" t="s">
        <v>103</v>
      </c>
      <c r="B2" s="2"/>
      <c r="C2" s="2"/>
      <c r="D2" s="2"/>
      <c r="E2" s="2"/>
    </row>
    <row r="3" ht="20" customHeight="1" spans="1:5" x14ac:dyDescent="0.25">
      <c r="A3" s="2" t="s">
        <v>104</v>
      </c>
      <c r="B3" s="2"/>
      <c r="C3" s="2"/>
      <c r="D3" s="2"/>
      <c r="E3" s="2"/>
    </row>
    <row r="4" ht="30" customHeight="1" spans="1:5" x14ac:dyDescent="0.25">
      <c r="A4" s="2" t="s">
        <v>105</v>
      </c>
      <c r="B4" s="2"/>
      <c r="C4" s="2"/>
      <c r="D4" s="2"/>
      <c r="E4" s="2"/>
    </row>
    <row r="6" ht="30" customHeight="1" spans="1:3" x14ac:dyDescent="0.25">
      <c r="A6" s="17" t="s">
        <v>106</v>
      </c>
      <c r="B6" s="19"/>
      <c r="C6" s="7">
        <f>IF(B6="","⬜ ממתין לתשובה",IF(B6=351,"✔ נכון — ספרה נחשפה!","✖ לא מדויק, נסו שוב"))</f>
      </c>
    </row>
    <row r="8" spans="1:5" x14ac:dyDescent="0.25">
      <c r="A8" s="2" t="s">
        <v>107</v>
      </c>
      <c r="B8" s="2"/>
      <c r="C8" s="2"/>
      <c r="D8" s="2"/>
      <c r="E8" s="2"/>
    </row>
    <row r="9" spans="1:5" x14ac:dyDescent="0.25">
      <c r="A9" s="2" t="s">
        <v>77</v>
      </c>
      <c r="B9" s="2"/>
      <c r="C9" s="2"/>
      <c r="D9" s="2"/>
      <c r="E9" s="2"/>
    </row>
  </sheetData>
  <mergeCells count="6">
    <mergeCell ref="A1:E1"/>
    <mergeCell ref="A2:E2"/>
    <mergeCell ref="A3:E3"/>
    <mergeCell ref="A4:E4"/>
    <mergeCell ref="A8:E8"/>
    <mergeCell ref="A9:E9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 rightToLeft="1" showGridLines="0"/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5" width="16" customWidth="1"/>
  </cols>
  <sheetData>
    <row r="1" ht="28" customHeight="1" spans="1:5" x14ac:dyDescent="0.25">
      <c r="A1" s="1" t="s">
        <v>108</v>
      </c>
      <c r="B1" s="1"/>
      <c r="C1" s="1"/>
      <c r="D1" s="1"/>
      <c r="E1" s="1"/>
    </row>
    <row r="2" spans="1:5" x14ac:dyDescent="0.25">
      <c r="A2" s="2" t="s">
        <v>109</v>
      </c>
      <c r="B2" s="2"/>
      <c r="C2" s="2"/>
      <c r="D2" s="2"/>
      <c r="E2" s="2"/>
    </row>
    <row r="4" ht="34" customHeight="1" spans="1:2" x14ac:dyDescent="0.25">
      <c r="A4" s="20" t="s">
        <v>110</v>
      </c>
      <c r="B4" s="21"/>
    </row>
    <row r="6" spans="1:5" x14ac:dyDescent="0.25">
      <c r="A6" s="22">
        <f>IF(B4="","🔒 התיק עדיין נעול. השלימו את שש התחנות, וקחו את הקוד מלוח הבקרה.",IF(B4=402917,"🎉 התיק נפתח!" &amp; CHAR(10) &amp; CHAR(10) &amp; "הזמנה 404: רותם אביב, 6 יחידות רמקול שולחני, 351 ₪ כולל משלוח, לאזור מרכז (קוד 33)." &amp; CHAR(10) &amp; "ההזמנה לא נעלמה — היא מעולם לא נמחקה. המידע היה שם כל הזמן, רק מפוזר על פני חמש טבלאות." &amp; CHAR(10) &amp; CHAR(10) &amp; "וזה בדיוק מה ש-XLOOKUP עושה: לוקחת מידע שמפוזר, ומחזירה אותו לשורה אחת שאפשר לקרוא.","❌ הקוד שגוי. בדקו בלוח הבקרה אילו תחנות עדיין מסומנות ✖."))</f>
      </c>
      <c r="B6" s="22"/>
      <c r="C6" s="22"/>
      <c r="D6" s="22"/>
      <c r="E6" s="22"/>
    </row>
    <row r="7" spans="1:5" x14ac:dyDescent="0.25">
      <c r="A7" s="22"/>
      <c r="B7" s="22"/>
      <c r="C7" s="22"/>
      <c r="D7" s="22"/>
      <c r="E7" s="22"/>
    </row>
    <row r="8" spans="1:5" x14ac:dyDescent="0.25">
      <c r="A8" s="22"/>
      <c r="B8" s="22"/>
      <c r="C8" s="22"/>
      <c r="D8" s="22"/>
      <c r="E8" s="22"/>
    </row>
    <row r="9" spans="1:5" x14ac:dyDescent="0.25">
      <c r="A9" s="22"/>
      <c r="B9" s="22"/>
      <c r="C9" s="22"/>
      <c r="D9" s="22"/>
      <c r="E9" s="22"/>
    </row>
    <row r="11" spans="1:5" x14ac:dyDescent="0.25">
      <c r="A11" s="3" t="s">
        <v>111</v>
      </c>
      <c r="B11" s="3"/>
      <c r="C11" s="3"/>
      <c r="D11" s="3"/>
      <c r="E11" s="3"/>
    </row>
  </sheetData>
  <mergeCells count="4">
    <mergeCell ref="A1:E1"/>
    <mergeCell ref="A2:E2"/>
    <mergeCell ref="A6:E9"/>
    <mergeCell ref="A11:E1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6"/>
  <sheetViews>
    <sheetView workbookViewId="0" rightToLeft="1" showGridLines="0"/>
  </sheetViews>
  <sheetFormatPr defaultRowHeight="15" outlineLevelRow="0" outlineLevelCol="0" x14ac:dyDescent="55"/>
  <cols>
    <col min="1" max="1" width="14" customWidth="1"/>
    <col min="2" max="2" width="62" customWidth="1"/>
    <col min="3" max="3" width="26" customWidth="1"/>
  </cols>
  <sheetData>
    <row r="1" ht="28" customHeight="1" spans="1:3" x14ac:dyDescent="0.25">
      <c r="A1" s="1" t="s">
        <v>112</v>
      </c>
      <c r="B1" s="1"/>
      <c r="C1" s="1"/>
    </row>
    <row r="2" spans="1:3" x14ac:dyDescent="0.25">
      <c r="A2" s="2" t="s">
        <v>113</v>
      </c>
      <c r="B2" s="2"/>
      <c r="C2" s="2"/>
    </row>
    <row r="4" ht="26" customHeight="1" spans="1:3" x14ac:dyDescent="0.25">
      <c r="A4" s="4" t="s">
        <v>114</v>
      </c>
      <c r="B4" s="4" t="s">
        <v>115</v>
      </c>
      <c r="C4" s="4" t="s">
        <v>116</v>
      </c>
    </row>
    <row r="5" ht="34" customHeight="1" spans="1:3" x14ac:dyDescent="0.25">
      <c r="A5" s="13" t="s">
        <v>117</v>
      </c>
      <c r="B5" s="6" t="s">
        <v>118</v>
      </c>
      <c r="C5" s="6" t="s">
        <v>119</v>
      </c>
    </row>
    <row r="6" ht="34" customHeight="1" spans="1:3" x14ac:dyDescent="0.25">
      <c r="A6" s="13" t="s">
        <v>120</v>
      </c>
      <c r="B6" s="6" t="s">
        <v>121</v>
      </c>
      <c r="C6" s="6" t="s">
        <v>122</v>
      </c>
    </row>
    <row r="7" ht="34" customHeight="1" spans="1:3" x14ac:dyDescent="0.25">
      <c r="A7" s="13" t="s">
        <v>123</v>
      </c>
      <c r="B7" s="6" t="s">
        <v>124</v>
      </c>
      <c r="C7" s="6" t="s">
        <v>125</v>
      </c>
    </row>
    <row r="8" ht="34" customHeight="1" spans="1:3" x14ac:dyDescent="0.25">
      <c r="A8" s="13" t="s">
        <v>126</v>
      </c>
      <c r="B8" s="6" t="s">
        <v>127</v>
      </c>
      <c r="C8" s="6" t="s">
        <v>128</v>
      </c>
    </row>
    <row r="9" ht="34" customHeight="1" spans="1:3" x14ac:dyDescent="0.25">
      <c r="A9" s="13" t="s">
        <v>129</v>
      </c>
      <c r="B9" s="6" t="s">
        <v>130</v>
      </c>
      <c r="C9" s="6" t="s">
        <v>131</v>
      </c>
    </row>
    <row r="10" ht="34" customHeight="1" spans="1:3" x14ac:dyDescent="0.25">
      <c r="A10" s="13" t="s">
        <v>132</v>
      </c>
      <c r="B10" s="6" t="s">
        <v>133</v>
      </c>
      <c r="C10" s="6" t="s">
        <v>134</v>
      </c>
    </row>
    <row r="12" spans="1:3" x14ac:dyDescent="0.25">
      <c r="A12" s="3" t="s">
        <v>135</v>
      </c>
      <c r="B12" s="3"/>
      <c r="C12" s="3"/>
    </row>
    <row r="13" spans="1:3" x14ac:dyDescent="0.25">
      <c r="A13" s="2" t="s">
        <v>136</v>
      </c>
      <c r="B13" s="2"/>
      <c r="C13" s="2"/>
    </row>
    <row r="14" spans="1:3" x14ac:dyDescent="0.25">
      <c r="A14" s="2" t="s">
        <v>137</v>
      </c>
      <c r="B14" s="2"/>
      <c r="C14" s="2"/>
    </row>
    <row r="15" spans="1:3" x14ac:dyDescent="0.25">
      <c r="A15" s="2" t="s">
        <v>138</v>
      </c>
      <c r="B15" s="2"/>
      <c r="C15" s="2"/>
    </row>
    <row r="16" spans="1:3" x14ac:dyDescent="0.25">
      <c r="A16" s="2" t="s">
        <v>139</v>
      </c>
      <c r="B16" s="2"/>
      <c r="C16" s="2"/>
    </row>
  </sheetData>
  <mergeCells count="7">
    <mergeCell ref="A1:C1"/>
    <mergeCell ref="A2:C2"/>
    <mergeCell ref="A12:C12"/>
    <mergeCell ref="A13:C13"/>
    <mergeCell ref="A14:C14"/>
    <mergeCell ref="A15:C15"/>
    <mergeCell ref="A16:C16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🕵️ לוח בקרה</vt:lpstr>
      <vt:lpstr>📁 נתוני המערכת</vt:lpstr>
      <vt:lpstr>תחנה 1</vt:lpstr>
      <vt:lpstr>תחנה 2</vt:lpstr>
      <vt:lpstr>תחנה 3</vt:lpstr>
      <vt:lpstr>תחנה 4</vt:lpstr>
      <vt:lpstr>תחנה 5</vt:lpstr>
      <vt:lpstr>תחנה 6</vt:lpstr>
      <vt:lpstr>🔓 פתיחת התיק</vt:lpstr>
      <vt:lpstr>💡 עזרה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לומדת XLOOKUP — מידע ונתונים</dc:creator>
  <dc:title/>
  <dc:subject/>
  <dc:description/>
  <cp:keywords/>
  <cp:category/>
  <cp:lastModifiedBy>Unknown</cp:lastModifiedBy>
  <dcterms:created xsi:type="dcterms:W3CDTF">2026-09-21T17:46:40Z</dcterms:created>
  <dcterms:modified xsi:type="dcterms:W3CDTF">2026-09-21T17:46:40Z</dcterms:modified>
</cp:coreProperties>
</file>