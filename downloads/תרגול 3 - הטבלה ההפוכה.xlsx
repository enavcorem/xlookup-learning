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תחנה 3 - הטבלה ההפוכה" state="visible" r:id="rId4"/>
  </sheets>
  <calcPr calcId="171027" fullCalcOnLoad="1"/>
</workbook>
</file>

<file path=xl/sharedStrings.xml><?xml version="1.0" encoding="utf-8"?>
<sst xmlns="http://schemas.openxmlformats.org/spreadsheetml/2006/main" count="40" uniqueCount="29">
  <si>
    <t>🔄 תרגול 3 — הטבלה ההפוכה</t>
  </si>
  <si>
    <t>שימו לב לסדר העמודות בבסיס הנתונים: המחלקה נמצאת לפני מספר העובד. ב-VLOOKUP זה היה אתגר. כאן — לא.</t>
  </si>
  <si>
    <t>עלות שנתית כוללת = שכר חודשי × 12 × 1.3 (מקדם עלות סוציאלית).</t>
  </si>
  <si>
    <t>אזור העבודה</t>
  </si>
  <si>
    <t>בסיס הנתונים — עובדי החברה</t>
  </si>
  <si>
    <t>מספר עובד</t>
  </si>
  <si>
    <t>שם מלא</t>
  </si>
  <si>
    <t>מחלקה</t>
  </si>
  <si>
    <t>שכר ברוטו</t>
  </si>
  <si>
    <t>עלות שנתית כוללת</t>
  </si>
  <si>
    <t>בדיקה</t>
  </si>
  <si>
    <t>תאריך קליטה</t>
  </si>
  <si>
    <t>שיווק</t>
  </si>
  <si>
    <t>01/03/2022</t>
  </si>
  <si>
    <t>דניאל כהן</t>
  </si>
  <si>
    <t>רועי גולן</t>
  </si>
  <si>
    <t>לוגיסטיקה</t>
  </si>
  <si>
    <t>כספים</t>
  </si>
  <si>
    <t>15/07/2021</t>
  </si>
  <si>
    <t>מיכל לוי</t>
  </si>
  <si>
    <t>יוסי אבני</t>
  </si>
  <si>
    <t>הנהלה</t>
  </si>
  <si>
    <t>02/01/2023</t>
  </si>
  <si>
    <t>20/11/2020</t>
  </si>
  <si>
    <t>נועה שחר</t>
  </si>
  <si>
    <t>05/05/2019</t>
  </si>
  <si>
    <t>💡 שלוש העמודות הראשונות הן XLOOKUP רגיל. הרביעית היא חישוב על התוצאה: ‎=D7*12*1.3‎</t>
  </si>
  <si>
    <t>🔑  כחול = נתון קבוע, לא נוגעים   ·   צהוב = כאן ואך ורק כאן כותבים   ·   ירוק = מתעדכן לבד</t>
  </si>
  <si>
    <t>⚠️  XLOOKUP קיימת ב-Microsoft 365 וב-Excel 2021 ומעלה. אם מופיע ‎#NAME?‎ בכל התאים — הגרסה ישנה מדי, והנוסחה שלכן דווקא תקינה. אפשר לפתוח את הקובץ בגוגל שיטס.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</si>
</sst>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₪"/>
  </numFmts>
  <fonts count="6" x14ac:knownFonts="1">
    <font>
      <color theme="1"/>
      <family val="2"/>
      <scheme val="minor"/>
      <sz val="11"/>
      <name val="Calibri"/>
    </font>
    <font>
      <b/>
      <color rgb="FF1F4E79"/>
      <sz val="16"/>
    </font>
    <font>
      <color rgb="FF404040"/>
      <sz val="11"/>
    </font>
    <font>
      <b/>
      <color rgb="FF1F4E79"/>
    </font>
    <font>
      <b/>
      <color rgb="FFFFFFFF"/>
      <sz val="11"/>
    </font>
    <font>
      <color rgb="FF1F4E79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9F7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6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workbookViewId="0" rightToLeft="1" showGridLines="0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14" customWidth="1"/>
    <col min="5" max="5" width="18" customWidth="1"/>
    <col min="6" max="6" width="16" customWidth="1"/>
    <col min="7" max="7" width="3" customWidth="1"/>
    <col min="8" max="10" width="14" customWidth="1"/>
    <col min="11" max="11" width="18" customWidth="1"/>
    <col min="12" max="12" width="14" customWidth="1"/>
    <col min="13" max="13" width="3" customWidth="1"/>
    <col min="14" max="14" width="16" hidden="1" customWidth="1"/>
    <col min="15" max="17" width="14" hidden="1" customWidth="1"/>
  </cols>
  <sheetData>
    <row r="1" ht="26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8" x14ac:dyDescent="0.25">
      <c r="A5" s="3" t="s">
        <v>3</v>
      </c>
      <c r="H5" s="3" t="s">
        <v>4</v>
      </c>
    </row>
    <row r="6" ht="28" customHeight="1" spans="1:12" x14ac:dyDescent="0.2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H6" s="4" t="s">
        <v>7</v>
      </c>
      <c r="I6" s="4" t="s">
        <v>11</v>
      </c>
      <c r="J6" s="4" t="s">
        <v>5</v>
      </c>
      <c r="K6" s="4" t="s">
        <v>6</v>
      </c>
      <c r="L6" s="4" t="s">
        <v>8</v>
      </c>
    </row>
    <row r="7" spans="1:17" x14ac:dyDescent="0.25">
      <c r="A7" s="5">
        <v>10891</v>
      </c>
      <c r="B7" s="6"/>
      <c r="C7" s="6"/>
      <c r="D7" s="7"/>
      <c r="E7" s="7"/>
      <c r="F7" s="8">
        <f>IF(COUNTA(B7:E7)=0,"",IF(AND(B7=N7,C7=O7,D7=P7,ROUND(E7,2)=ROUND(Q7,2)),"✔ נכון","✖ צריך תיקון"))</f>
      </c>
      <c r="H7" s="9" t="s">
        <v>12</v>
      </c>
      <c r="I7" s="5" t="s">
        <v>13</v>
      </c>
      <c r="J7" s="5">
        <v>10234</v>
      </c>
      <c r="K7" s="9" t="s">
        <v>14</v>
      </c>
      <c r="L7" s="10">
        <v>14500</v>
      </c>
      <c r="N7" t="s">
        <v>15</v>
      </c>
      <c r="O7" t="s">
        <v>16</v>
      </c>
      <c r="P7">
        <v>11800</v>
      </c>
      <c r="Q7">
        <v>184080</v>
      </c>
    </row>
    <row r="8" spans="1:17" x14ac:dyDescent="0.25">
      <c r="A8" s="5">
        <v>11302</v>
      </c>
      <c r="B8" s="6"/>
      <c r="C8" s="6"/>
      <c r="D8" s="7"/>
      <c r="E8" s="7"/>
      <c r="F8" s="8">
        <f>IF(COUNTA(B8:E8)=0,"",IF(AND(B8=N8,C8=O8,D8=P8,ROUND(E8,2)=ROUND(Q8,2)),"✔ נכון","✖ צריך תיקון"))</f>
      </c>
      <c r="H8" s="9" t="s">
        <v>17</v>
      </c>
      <c r="I8" s="5" t="s">
        <v>18</v>
      </c>
      <c r="J8" s="5">
        <v>10567</v>
      </c>
      <c r="K8" s="9" t="s">
        <v>19</v>
      </c>
      <c r="L8" s="10">
        <v>17200</v>
      </c>
      <c r="N8" t="s">
        <v>20</v>
      </c>
      <c r="O8" t="s">
        <v>21</v>
      </c>
      <c r="P8">
        <v>24000</v>
      </c>
      <c r="Q8">
        <v>374400</v>
      </c>
    </row>
    <row r="9" spans="1:17" x14ac:dyDescent="0.25">
      <c r="A9" s="5">
        <v>10567</v>
      </c>
      <c r="B9" s="6"/>
      <c r="C9" s="6"/>
      <c r="D9" s="7"/>
      <c r="E9" s="7"/>
      <c r="F9" s="8">
        <f>IF(COUNTA(B9:E9)=0,"",IF(AND(B9=N9,C9=O9,D9=P9,ROUND(E9,2)=ROUND(Q9,2)),"✔ נכון","✖ צריך תיקון"))</f>
      </c>
      <c r="H9" s="9" t="s">
        <v>16</v>
      </c>
      <c r="I9" s="5" t="s">
        <v>22</v>
      </c>
      <c r="J9" s="5">
        <v>10891</v>
      </c>
      <c r="K9" s="9" t="s">
        <v>15</v>
      </c>
      <c r="L9" s="10">
        <v>11800</v>
      </c>
      <c r="N9" t="s">
        <v>19</v>
      </c>
      <c r="O9" t="s">
        <v>17</v>
      </c>
      <c r="P9">
        <v>17200</v>
      </c>
      <c r="Q9">
        <v>268320</v>
      </c>
    </row>
    <row r="10" spans="8:12" x14ac:dyDescent="0.25">
      <c r="H10" s="9" t="s">
        <v>12</v>
      </c>
      <c r="I10" s="5" t="s">
        <v>23</v>
      </c>
      <c r="J10" s="5">
        <v>11045</v>
      </c>
      <c r="K10" s="9" t="s">
        <v>24</v>
      </c>
      <c r="L10" s="10">
        <v>15600</v>
      </c>
    </row>
    <row r="11" spans="8:12" x14ac:dyDescent="0.25">
      <c r="H11" s="9" t="s">
        <v>21</v>
      </c>
      <c r="I11" s="5" t="s">
        <v>25</v>
      </c>
      <c r="J11" s="5">
        <v>11302</v>
      </c>
      <c r="K11" s="9" t="s">
        <v>20</v>
      </c>
      <c r="L11" s="10">
        <v>24000</v>
      </c>
    </row>
    <row r="13" spans="1:12" x14ac:dyDescent="0.25">
      <c r="A13" s="2" t="s">
        <v>26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5" spans="1:10" x14ac:dyDescent="0.25">
      <c r="A15" s="11" t="s">
        <v>27</v>
      </c>
      <c r="B15" s="11"/>
      <c r="C15" s="11"/>
      <c r="D15" s="11"/>
      <c r="E15" s="11"/>
      <c r="F15" s="11"/>
      <c r="G15" s="11"/>
      <c r="H15" s="11"/>
      <c r="I15" s="11"/>
      <c r="J15" s="11"/>
    </row>
    <row r="16" ht="30" customHeight="1" spans="1:10" x14ac:dyDescent="0.25">
      <c r="A16" s="2" t="s">
        <v>28</v>
      </c>
      <c r="B16" s="2"/>
      <c r="C16" s="2"/>
      <c r="D16" s="2"/>
      <c r="E16" s="2"/>
      <c r="F16" s="2"/>
      <c r="G16" s="2"/>
      <c r="H16" s="2"/>
      <c r="I16" s="2"/>
      <c r="J16" s="2"/>
    </row>
  </sheetData>
  <mergeCells count="6">
    <mergeCell ref="A1:L1"/>
    <mergeCell ref="A2:L2"/>
    <mergeCell ref="A3:L3"/>
    <mergeCell ref="A13:L13"/>
    <mergeCell ref="A15:J15"/>
    <mergeCell ref="A16:J16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תחנה 3 - הטבלה ההפוכה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לומדת XLOOKUP — מידע ונתונים</dc:creator>
  <dc:title/>
  <dc:subject/>
  <dc:description/>
  <cp:keywords/>
  <cp:category/>
  <cp:lastModifiedBy>Unknown</cp:lastModifiedBy>
  <dcterms:created xsi:type="dcterms:W3CDTF">2026-09-21T17:45:37Z</dcterms:created>
  <dcterms:modified xsi:type="dcterms:W3CDTF">2026-09-21T17:45:37Z</dcterms:modified>
</cp:coreProperties>
</file>