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יום עבודה במחסן" state="visible" r:id="rId4"/>
    <sheet sheetId="2" name="קטלוג החלפים" state="visible" r:id="rId5"/>
    <sheet sheetId="3" name="תקנו את הנוסחה" state="visible" r:id="rId6"/>
  </sheets>
  <calcPr calcId="171027" fullCalcOnLoad="1"/>
</workbook>
</file>

<file path=xl/sharedStrings.xml><?xml version="1.0" encoding="utf-8"?>
<sst xmlns="http://schemas.openxmlformats.org/spreadsheetml/2006/main" count="441" uniqueCount="379">
  <si>
    <t>📦 תרגול 4 — יום עבודה במחסן</t>
  </si>
  <si>
    <t>אלה 30 שורות המכירות של יום שלישי. המנהל ביקש דוח מלא: לכל שורה — שם החלק, המחיר ליחידה, הסכום לפני הנחה, אחוז ההנחה שמגיע לשורה לפי טבלת ההנחות, והסכום לתשלום.</t>
  </si>
  <si>
    <t>הפעם לא נאמר לכן באיזו עמודה לחפש ואיזה סוג חיפוש להשתמש. תסתכלו על הנתונים ותחליטו — בדיוק כמו במבחן.</t>
  </si>
  <si>
    <t>⚠️ שתי שורות יחזירו ‎#N/A‎, ושורה אחת תראה מחיר 0. זו לא טעות שלכן — זה חלק מהתרגיל. יש שאלה על זה למטה.</t>
  </si>
  <si>
    <t>מס׳ הזמנה</t>
  </si>
  <si>
    <t>מק"ט</t>
  </si>
  <si>
    <t>כמות</t>
  </si>
  <si>
    <t>שם החלק</t>
  </si>
  <si>
    <t>מחיר ליחידה</t>
  </si>
  <si>
    <t>סכום לפני הנחה</t>
  </si>
  <si>
    <t>אחוז הנחה</t>
  </si>
  <si>
    <t>לתשלום</t>
  </si>
  <si>
    <t>בדיקה</t>
  </si>
  <si>
    <t>סכום מ- (₪)</t>
  </si>
  <si>
    <t>1041</t>
  </si>
  <si>
    <t>BR-100</t>
  </si>
  <si>
    <t>רפידות בלם סיטי</t>
  </si>
  <si>
    <t>1042</t>
  </si>
  <si>
    <t>BT-198</t>
  </si>
  <si>
    <t>מצבר סטנדרט</t>
  </si>
  <si>
    <t>1043</t>
  </si>
  <si>
    <t>AF-100</t>
  </si>
  <si>
    <t>מסנן אוויר סיטי</t>
  </si>
  <si>
    <t>1044</t>
  </si>
  <si>
    <t>SP-184</t>
  </si>
  <si>
    <t>מצת בייסיק</t>
  </si>
  <si>
    <t>1045</t>
  </si>
  <si>
    <t>LA-149</t>
  </si>
  <si>
    <t>נורה ספורט</t>
  </si>
  <si>
    <t>1046</t>
  </si>
  <si>
    <t>LA-163</t>
  </si>
  <si>
    <t>נורה אולטרה</t>
  </si>
  <si>
    <t>1047</t>
  </si>
  <si>
    <t>BT-170</t>
  </si>
  <si>
    <t>מצבר קומפקט</t>
  </si>
  <si>
    <t>1048</t>
  </si>
  <si>
    <t>1049</t>
  </si>
  <si>
    <t>XX-999</t>
  </si>
  <si>
    <t>שורה מיוחדת ⬅</t>
  </si>
  <si>
    <t>1050</t>
  </si>
  <si>
    <t>1051</t>
  </si>
  <si>
    <t>TR-184</t>
  </si>
  <si>
    <t>רצועת תזמון בייסיק</t>
  </si>
  <si>
    <t>1052</t>
  </si>
  <si>
    <t>WP-191</t>
  </si>
  <si>
    <t>משאבת מים דלוקס</t>
  </si>
  <si>
    <t>1053</t>
  </si>
  <si>
    <t>WP-135</t>
  </si>
  <si>
    <t>משאבת מים טורבו</t>
  </si>
  <si>
    <t>1054</t>
  </si>
  <si>
    <t>SH-142</t>
  </si>
  <si>
    <t>בולם זעזועים אקו</t>
  </si>
  <si>
    <t>1055</t>
  </si>
  <si>
    <t>1056</t>
  </si>
  <si>
    <t>LA-121</t>
  </si>
  <si>
    <t>נורה לייט</t>
  </si>
  <si>
    <t>1057</t>
  </si>
  <si>
    <t>AF-114</t>
  </si>
  <si>
    <t>מסנן אוויר מקס</t>
  </si>
  <si>
    <t>1058</t>
  </si>
  <si>
    <t>1059</t>
  </si>
  <si>
    <t>SP-100</t>
  </si>
  <si>
    <t>מצת סיטי</t>
  </si>
  <si>
    <t>1060</t>
  </si>
  <si>
    <t>SH-163</t>
  </si>
  <si>
    <t>בולם זעזועים אולטרה</t>
  </si>
  <si>
    <t>1061</t>
  </si>
  <si>
    <t>RD-107</t>
  </si>
  <si>
    <t>רדיאטור פרו</t>
  </si>
  <si>
    <t>1062</t>
  </si>
  <si>
    <t>BR-999</t>
  </si>
  <si>
    <t>1063</t>
  </si>
  <si>
    <t>SH-128</t>
  </si>
  <si>
    <t>בולם זעזועים פלוס</t>
  </si>
  <si>
    <t>1064</t>
  </si>
  <si>
    <t>TR-128</t>
  </si>
  <si>
    <t>רצועת תזמון פלוס</t>
  </si>
  <si>
    <t>1065</t>
  </si>
  <si>
    <t>SH-177</t>
  </si>
  <si>
    <t>בולם זעזועים פרימיום</t>
  </si>
  <si>
    <t>1066</t>
  </si>
  <si>
    <t>1067</t>
  </si>
  <si>
    <t>1068</t>
  </si>
  <si>
    <t>SH-135</t>
  </si>
  <si>
    <t>בולם זעזועים טורבו</t>
  </si>
  <si>
    <t>1069</t>
  </si>
  <si>
    <t>BT-142</t>
  </si>
  <si>
    <t>מצבר אקו</t>
  </si>
  <si>
    <t>1070</t>
  </si>
  <si>
    <t>SP-163</t>
  </si>
  <si>
    <t>מצת אולטרה</t>
  </si>
  <si>
    <t>כמה שורות קיבלו הנחה כלשהי (יותר מ-0%)?</t>
  </si>
  <si>
    <t>☝️ את המספר הזה מקלידים בלומדה, ביחידה "תרגול גדול: יום עבודה במחסן".</t>
  </si>
  <si>
    <t>למה שתי שורות החזירו ‎#N/A‎?</t>
  </si>
  <si>
    <t>ובשורה אחת המחיר יצא 0. למה?</t>
  </si>
  <si>
    <t>💡 הטבלה כאן גדולה פי 12 מהתרגילים הקודמים. אם תשכחו לקבע את הטווחים (F4) — השורה הראשונה תעבוד, וכל 29 השאר יישברו. זה בדיוק המקום לראות את זה קורה.</t>
  </si>
  <si>
    <t>🔑  כחול = נתון קבוע, לא נוגעים   ·   צהוב = כאן ואך ורק כאן כותבים   ·   ירוק = מתעדכן לבד</t>
  </si>
  <si>
    <t>⚠️  XLOOKUP קיימת ב-Microsoft 365 וב-Excel 2021 ומעלה. אם מופיע ‎#NAME?‎ בכל התאים — הגרסה ישנה מדי, והנוסחה שלכן דווקא תקינה. אפשר לפתוח את הקובץ בגוגל שיטס.</t>
  </si>
  <si>
    <t>📚 קטלוג החלפים — 150 פריטים</t>
  </si>
  <si>
    <t>זה בסיס הנתונים. לא נוגעים בו. שימו לב שהוא מתחיל בשורה 5 ונגמר בשורה 154.</t>
  </si>
  <si>
    <t>MO-100</t>
  </si>
  <si>
    <t>פילטר שמן סיטי</t>
  </si>
  <si>
    <t>MO-107</t>
  </si>
  <si>
    <t>פילטר שמן פרו</t>
  </si>
  <si>
    <t>MO-114</t>
  </si>
  <si>
    <t>פילטר שמן מקס</t>
  </si>
  <si>
    <t>MO-121</t>
  </si>
  <si>
    <t>פילטר שמן לייט</t>
  </si>
  <si>
    <t>MO-128</t>
  </si>
  <si>
    <t>פילטר שמן פלוס</t>
  </si>
  <si>
    <t>MO-135</t>
  </si>
  <si>
    <t>פילטר שמן טורבו</t>
  </si>
  <si>
    <t>MO-142</t>
  </si>
  <si>
    <t>פילטר שמן אקו</t>
  </si>
  <si>
    <t>MO-149</t>
  </si>
  <si>
    <t>פילטר שמן ספורט</t>
  </si>
  <si>
    <t>MO-156</t>
  </si>
  <si>
    <t>פילטר שמן קלאסיק</t>
  </si>
  <si>
    <t>MO-163</t>
  </si>
  <si>
    <t>פילטר שמן אולטרה</t>
  </si>
  <si>
    <t>MO-170</t>
  </si>
  <si>
    <t>פילטר שמן קומפקט</t>
  </si>
  <si>
    <t>MO-177</t>
  </si>
  <si>
    <t>פילטר שמן פרימיום</t>
  </si>
  <si>
    <t>MO-184</t>
  </si>
  <si>
    <t>פילטר שמן בייסיק</t>
  </si>
  <si>
    <t>MO-191</t>
  </si>
  <si>
    <t>פילטר שמן דלוקס</t>
  </si>
  <si>
    <t>MO-198</t>
  </si>
  <si>
    <t>פילטר שמן סטנדרט</t>
  </si>
  <si>
    <t>BR-107</t>
  </si>
  <si>
    <t>רפידות בלם פרו</t>
  </si>
  <si>
    <t>BR-114</t>
  </si>
  <si>
    <t>רפידות בלם מקס</t>
  </si>
  <si>
    <t>BR-121</t>
  </si>
  <si>
    <t>רפידות בלם לייט</t>
  </si>
  <si>
    <t>BR-128</t>
  </si>
  <si>
    <t>רפידות בלם פלוס</t>
  </si>
  <si>
    <t>BR-135</t>
  </si>
  <si>
    <t>רפידות בלם טורבו</t>
  </si>
  <si>
    <t>BR-142</t>
  </si>
  <si>
    <t>רפידות בלם אקו</t>
  </si>
  <si>
    <t>BR-149</t>
  </si>
  <si>
    <t>רפידות בלם ספורט</t>
  </si>
  <si>
    <t>BR-156</t>
  </si>
  <si>
    <t>רפידות בלם קלאסיק</t>
  </si>
  <si>
    <t>BR-163</t>
  </si>
  <si>
    <t>רפידות בלם אולטרה</t>
  </si>
  <si>
    <t>BR-170</t>
  </si>
  <si>
    <t>רפידות בלם קומפקט</t>
  </si>
  <si>
    <t>BR-177</t>
  </si>
  <si>
    <t>רפידות בלם פרימיום</t>
  </si>
  <si>
    <t>BR-184</t>
  </si>
  <si>
    <t>רפידות בלם בייסיק</t>
  </si>
  <si>
    <t>BR-191</t>
  </si>
  <si>
    <t>רפידות בלם דלוקס</t>
  </si>
  <si>
    <t>BR-198</t>
  </si>
  <si>
    <t>רפידות בלם סטנדרט</t>
  </si>
  <si>
    <t>LA-100</t>
  </si>
  <si>
    <t>נורה סיטי</t>
  </si>
  <si>
    <t>LA-107</t>
  </si>
  <si>
    <t>נורה פרו</t>
  </si>
  <si>
    <t>LA-114</t>
  </si>
  <si>
    <t>נורה מקס</t>
  </si>
  <si>
    <t>LA-128</t>
  </si>
  <si>
    <t>נורה פלוס</t>
  </si>
  <si>
    <t>LA-135</t>
  </si>
  <si>
    <t>נורה טורבו</t>
  </si>
  <si>
    <t>LA-142</t>
  </si>
  <si>
    <t>נורה אקו</t>
  </si>
  <si>
    <t>LA-156</t>
  </si>
  <si>
    <t>נורה קלאסיק</t>
  </si>
  <si>
    <t>LA-170</t>
  </si>
  <si>
    <t>נורה קומפקט</t>
  </si>
  <si>
    <t>LA-177</t>
  </si>
  <si>
    <t>נורה פרימיום</t>
  </si>
  <si>
    <t>LA-184</t>
  </si>
  <si>
    <t>נורה בייסיק</t>
  </si>
  <si>
    <t>LA-191</t>
  </si>
  <si>
    <t>נורה דלוקס</t>
  </si>
  <si>
    <t>LA-198</t>
  </si>
  <si>
    <t>נורה סטנדרט</t>
  </si>
  <si>
    <t>AF-107</t>
  </si>
  <si>
    <t>מסנן אוויר פרו</t>
  </si>
  <si>
    <t>AF-121</t>
  </si>
  <si>
    <t>מסנן אוויר לייט</t>
  </si>
  <si>
    <t>AF-128</t>
  </si>
  <si>
    <t>מסנן אוויר פלוס</t>
  </si>
  <si>
    <t>AF-135</t>
  </si>
  <si>
    <t>מסנן אוויר טורבו</t>
  </si>
  <si>
    <t>AF-142</t>
  </si>
  <si>
    <t>מסנן אוויר אקו</t>
  </si>
  <si>
    <t>AF-149</t>
  </si>
  <si>
    <t>מסנן אוויר ספורט</t>
  </si>
  <si>
    <t>AF-156</t>
  </si>
  <si>
    <t>מסנן אוויר קלאסיק</t>
  </si>
  <si>
    <t>AF-163</t>
  </si>
  <si>
    <t>מסנן אוויר אולטרה</t>
  </si>
  <si>
    <t>AF-170</t>
  </si>
  <si>
    <t>מסנן אוויר קומפקט</t>
  </si>
  <si>
    <t>AF-177</t>
  </si>
  <si>
    <t>מסנן אוויר פרימיום</t>
  </si>
  <si>
    <t>AF-184</t>
  </si>
  <si>
    <t>מסנן אוויר בייסיק</t>
  </si>
  <si>
    <t>AF-191</t>
  </si>
  <si>
    <t>מסנן אוויר דלוקס</t>
  </si>
  <si>
    <t>AF-198</t>
  </si>
  <si>
    <t>מסנן אוויר סטנדרט</t>
  </si>
  <si>
    <t>WP-100</t>
  </si>
  <si>
    <t>משאבת מים סיטי</t>
  </si>
  <si>
    <t>WP-107</t>
  </si>
  <si>
    <t>משאבת מים פרו</t>
  </si>
  <si>
    <t>WP-114</t>
  </si>
  <si>
    <t>משאבת מים מקס</t>
  </si>
  <si>
    <t>WP-121</t>
  </si>
  <si>
    <t>משאבת מים לייט</t>
  </si>
  <si>
    <t>WP-128</t>
  </si>
  <si>
    <t>משאבת מים פלוס</t>
  </si>
  <si>
    <t>WP-142</t>
  </si>
  <si>
    <t>משאבת מים אקו</t>
  </si>
  <si>
    <t>WP-149</t>
  </si>
  <si>
    <t>משאבת מים ספורט</t>
  </si>
  <si>
    <t>WP-156</t>
  </si>
  <si>
    <t>משאבת מים קלאסיק</t>
  </si>
  <si>
    <t>WP-163</t>
  </si>
  <si>
    <t>משאבת מים אולטרה</t>
  </si>
  <si>
    <t>WP-170</t>
  </si>
  <si>
    <t>משאבת מים קומפקט</t>
  </si>
  <si>
    <t>WP-177</t>
  </si>
  <si>
    <t>משאבת מים פרימיום</t>
  </si>
  <si>
    <t>WP-184</t>
  </si>
  <si>
    <t>משאבת מים בייסיק</t>
  </si>
  <si>
    <t>WP-198</t>
  </si>
  <si>
    <t>משאבת מים סטנדרט</t>
  </si>
  <si>
    <t>SP-107</t>
  </si>
  <si>
    <t>מצת פרו</t>
  </si>
  <si>
    <t>SP-114</t>
  </si>
  <si>
    <t>מצת מקס</t>
  </si>
  <si>
    <t>SP-121</t>
  </si>
  <si>
    <t>מצת לייט</t>
  </si>
  <si>
    <t>SP-128</t>
  </si>
  <si>
    <t>מצת פלוס</t>
  </si>
  <si>
    <t>SP-135</t>
  </si>
  <si>
    <t>מצת טורבו</t>
  </si>
  <si>
    <t>SP-142</t>
  </si>
  <si>
    <t>מצת אקו</t>
  </si>
  <si>
    <t>SP-149</t>
  </si>
  <si>
    <t>מצת ספורט</t>
  </si>
  <si>
    <t>SP-156</t>
  </si>
  <si>
    <t>מצת קלאסיק</t>
  </si>
  <si>
    <t>SP-170</t>
  </si>
  <si>
    <t>מצת קומפקט</t>
  </si>
  <si>
    <t>SP-177</t>
  </si>
  <si>
    <t>מצת פרימיום</t>
  </si>
  <si>
    <t>SP-191</t>
  </si>
  <si>
    <t>מצת דלוקס</t>
  </si>
  <si>
    <t>SP-198</t>
  </si>
  <si>
    <t>מצת סטנדרט</t>
  </si>
  <si>
    <t>BT-100</t>
  </si>
  <si>
    <t>מצבר סיטי</t>
  </si>
  <si>
    <t>BT-107</t>
  </si>
  <si>
    <t>מצבר פרו</t>
  </si>
  <si>
    <t>BT-114</t>
  </si>
  <si>
    <t>מצבר מקס</t>
  </si>
  <si>
    <t>BT-121</t>
  </si>
  <si>
    <t>מצבר לייט</t>
  </si>
  <si>
    <t>BT-128</t>
  </si>
  <si>
    <t>מצבר פלוס</t>
  </si>
  <si>
    <t>BT-135</t>
  </si>
  <si>
    <t>מצבר טורבו</t>
  </si>
  <si>
    <t>BT-149</t>
  </si>
  <si>
    <t>מצבר ספורט</t>
  </si>
  <si>
    <t>BT-156</t>
  </si>
  <si>
    <t>מצבר קלאסיק</t>
  </si>
  <si>
    <t>BT-163</t>
  </si>
  <si>
    <t>מצבר אולטרה</t>
  </si>
  <si>
    <t>BT-177</t>
  </si>
  <si>
    <t>מצבר פרימיום</t>
  </si>
  <si>
    <t>BT-184</t>
  </si>
  <si>
    <t>מצבר בייסיק</t>
  </si>
  <si>
    <t>BT-191</t>
  </si>
  <si>
    <t>מצבר דלוקס</t>
  </si>
  <si>
    <t>SH-100</t>
  </si>
  <si>
    <t>בולם זעזועים סיטי</t>
  </si>
  <si>
    <t>SH-107</t>
  </si>
  <si>
    <t>בולם זעזועים פרו</t>
  </si>
  <si>
    <t>SH-114</t>
  </si>
  <si>
    <t>בולם זעזועים מקס</t>
  </si>
  <si>
    <t>SH-121</t>
  </si>
  <si>
    <t>בולם זעזועים לייט</t>
  </si>
  <si>
    <t>SH-149</t>
  </si>
  <si>
    <t>בולם זעזועים ספורט</t>
  </si>
  <si>
    <t>SH-156</t>
  </si>
  <si>
    <t>בולם זעזועים קלאסיק</t>
  </si>
  <si>
    <t>SH-170</t>
  </si>
  <si>
    <t>בולם זעזועים קומפקט</t>
  </si>
  <si>
    <t>SH-184</t>
  </si>
  <si>
    <t>בולם זעזועים בייסיק</t>
  </si>
  <si>
    <t>SH-191</t>
  </si>
  <si>
    <t>בולם זעזועים דלוקס</t>
  </si>
  <si>
    <t>SH-198</t>
  </si>
  <si>
    <t>בולם זעזועים סטנדרט</t>
  </si>
  <si>
    <t>TR-100</t>
  </si>
  <si>
    <t>רצועת תזמון סיטי</t>
  </si>
  <si>
    <t>TR-107</t>
  </si>
  <si>
    <t>רצועת תזמון פרו</t>
  </si>
  <si>
    <t>TR-114</t>
  </si>
  <si>
    <t>רצועת תזמון מקס</t>
  </si>
  <si>
    <t>TR-121</t>
  </si>
  <si>
    <t>רצועת תזמון לייט</t>
  </si>
  <si>
    <t>TR-135</t>
  </si>
  <si>
    <t>רצועת תזמון טורבו</t>
  </si>
  <si>
    <t>TR-142</t>
  </si>
  <si>
    <t>רצועת תזמון אקו</t>
  </si>
  <si>
    <t>TR-149</t>
  </si>
  <si>
    <t>רצועת תזמון ספורט</t>
  </si>
  <si>
    <t>TR-156</t>
  </si>
  <si>
    <t>רצועת תזמון קלאסיק</t>
  </si>
  <si>
    <t>TR-163</t>
  </si>
  <si>
    <t>רצועת תזמון אולטרה</t>
  </si>
  <si>
    <t>TR-170</t>
  </si>
  <si>
    <t>רצועת תזמון קומפקט</t>
  </si>
  <si>
    <t>TR-177</t>
  </si>
  <si>
    <t>רצועת תזמון פרימיום</t>
  </si>
  <si>
    <t>TR-191</t>
  </si>
  <si>
    <t>רצועת תזמון דלוקס</t>
  </si>
  <si>
    <t>TR-198</t>
  </si>
  <si>
    <t>רצועת תזמון סטנדרט</t>
  </si>
  <si>
    <t>RD-100</t>
  </si>
  <si>
    <t>רדיאטור סיטי</t>
  </si>
  <si>
    <t>RD-114</t>
  </si>
  <si>
    <t>רדיאטור מקס</t>
  </si>
  <si>
    <t>RD-121</t>
  </si>
  <si>
    <t>רדיאטור לייט</t>
  </si>
  <si>
    <t>RD-128</t>
  </si>
  <si>
    <t>רדיאטור פלוס</t>
  </si>
  <si>
    <t>RD-135</t>
  </si>
  <si>
    <t>רדיאטור טורבו</t>
  </si>
  <si>
    <t>RD-142</t>
  </si>
  <si>
    <t>רדיאטור אקו</t>
  </si>
  <si>
    <t>RD-149</t>
  </si>
  <si>
    <t>רדיאטור ספורט</t>
  </si>
  <si>
    <t>RD-156</t>
  </si>
  <si>
    <t>רדיאטור קלאסיק</t>
  </si>
  <si>
    <t>RD-163</t>
  </si>
  <si>
    <t>רדיאטור אולטרה</t>
  </si>
  <si>
    <t>RD-170</t>
  </si>
  <si>
    <t>רדיאטור קומפקט</t>
  </si>
  <si>
    <t>RD-177</t>
  </si>
  <si>
    <t>רדיאטור פרימיום</t>
  </si>
  <si>
    <t>RD-184</t>
  </si>
  <si>
    <t>רדיאטור בייסיק</t>
  </si>
  <si>
    <t>RD-191</t>
  </si>
  <si>
    <t>רדיאטור דלוקס</t>
  </si>
  <si>
    <t>RD-198</t>
  </si>
  <si>
    <t>רדיאטור סטנדרט</t>
  </si>
  <si>
    <t>🔧 תקנו את הנוסחה</t>
  </si>
  <si>
    <t>חמש נוסחאות שבורות. לכל אחת כתוב מה רואים על המסך. בחרו מהרשימה מה לא בסדר — בלי לתקן באקסל, רק לקרוא ולהבין.</t>
  </si>
  <si>
    <t>זו בדיוק המיומנות שנבדקת כשמקבלים קובץ של מישהו אחר, או שאלה במבחן שמציגה נוסחה קיימת.</t>
  </si>
  <si>
    <t>#</t>
  </si>
  <si>
    <t>הנוסחה</t>
  </si>
  <si>
    <t>מה רואים על המסך</t>
  </si>
  <si>
    <t>מה לא בסדר?</t>
  </si>
  <si>
    <t>=XLOOKUP(A7,$B$2:$D$151,$C$2:$C$151)</t>
  </si>
  <si>
    <t>מחזיר #N/A בכל השורות, למרות שהמק"טים קיימים</t>
  </si>
  <si>
    <t>עמודת החיפוש היא טווח של שלוש עמודות במקום אחת</t>
  </si>
  <si>
    <t>=XLOOKUP(A7,B2:B151,C2:C151)</t>
  </si>
  <si>
    <t>השורה הראשונה נכונה, מהשנייה והלאה #N/A</t>
  </si>
  <si>
    <t>הטווחים לא מקובעים ולכן החליקו בגרירה</t>
  </si>
  <si>
    <t>=XLOOKUP(A7,$B$2:$B$151,$C$2:$C$150)</t>
  </si>
  <si>
    <t>מחזיר #VALUE! בכל השורות</t>
  </si>
  <si>
    <t>שתי העמודות לא באותו גודל</t>
  </si>
  <si>
    <t>=XLOOKUP(E7,$H$2:$H$5,$I$2:$I$5,-1)</t>
  </si>
  <si>
    <t>מחזיר 1- במקום אחוז הנחה</t>
  </si>
  <si>
    <t>חסר פסיק — ה-1- נכנס למקום של ״מה להציג אם לא נמצא״</t>
  </si>
  <si>
    <t>=XLOOKUP(E7,$H$2:$H$5,$I$2:$I$5,,1)</t>
  </si>
  <si>
    <t>מחזיר אחוזים שנראים סבירים — אבל כולם גבוהים מדי במדרגה אחת</t>
  </si>
  <si>
    <t>צריך 1- ולא 1 — מינוס = יורדים למדרגה שמתחת</t>
  </si>
  <si>
    <t>כמה זיהיתן נכון: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</si>
</sst>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₪"/>
  </numFmts>
  <fonts count="10" x14ac:knownFonts="1">
    <font>
      <color theme="1"/>
      <family val="2"/>
      <scheme val="minor"/>
      <sz val="11"/>
      <name val="Calibri"/>
    </font>
    <font>
      <b/>
      <color rgb="FF1F4E79"/>
      <sz val="16"/>
    </font>
    <font>
      <color rgb="FF404040"/>
      <sz val="11"/>
    </font>
    <font>
      <b/>
      <color rgb="FF1F4E79"/>
      <sz val="11"/>
    </font>
    <font>
      <b/>
      <color rgb="FFFFFFFF"/>
      <sz val="11"/>
    </font>
    <font>
      <b/>
      <color rgb="FF1F4E79"/>
    </font>
    <font>
      <color rgb="FF8A6D3B"/>
      <sz val="9"/>
    </font>
    <font>
      <b/>
    </font>
    <font>
      <color rgb="FF1F4E79"/>
      <sz val="11"/>
    </font>
    <font>
      <sz val="10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9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8"/>
  <sheetViews>
    <sheetView workbookViewId="0" rightToLeft="1" showGridLines="0"/>
  </sheetViews>
  <sheetFormatPr defaultRowHeight="15" outlineLevelRow="0" outlineLevelCol="0" x14ac:dyDescent="55"/>
  <cols>
    <col min="1" max="2" width="13" customWidth="1"/>
    <col min="4" max="4" width="24" customWidth="1"/>
    <col min="5" max="6" width="14" customWidth="1"/>
    <col min="7" max="7" width="11" customWidth="1"/>
    <col min="8" max="8" width="14" customWidth="1"/>
    <col min="9" max="9" width="16" customWidth="1"/>
    <col min="10" max="10" width="3" customWidth="1"/>
    <col min="11" max="11" width="15" customWidth="1"/>
    <col min="12" max="12" width="14" customWidth="1"/>
    <col min="18" max="18" width="9" hidden="1" customWidth="1"/>
    <col min="19" max="19" width="9" hidden="1" customWidth="1"/>
    <col min="20" max="20" width="9" hidden="1" customWidth="1"/>
    <col min="21" max="21" width="9" hidden="1" customWidth="1"/>
    <col min="22" max="22" width="9" hidden="1" customWidth="1"/>
  </cols>
  <sheetData>
    <row r="1" ht="2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4" customHeight="1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ht="24" customHeight="1" spans="1:9" x14ac:dyDescent="0.25">
      <c r="A4" s="2" t="s">
        <v>3</v>
      </c>
      <c r="B4" s="2"/>
      <c r="C4" s="2"/>
      <c r="D4" s="2"/>
      <c r="E4" s="2"/>
      <c r="F4" s="2"/>
      <c r="G4" s="2"/>
      <c r="H4" s="2"/>
      <c r="I4" s="2"/>
    </row>
    <row r="6" ht="28" customHeight="1" spans="1:12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K6" s="4" t="s">
        <v>13</v>
      </c>
      <c r="L6" s="4" t="s">
        <v>10</v>
      </c>
    </row>
    <row r="7" spans="1:22" x14ac:dyDescent="0.25">
      <c r="A7" s="5" t="s">
        <v>14</v>
      </c>
      <c r="B7" s="5" t="s">
        <v>15</v>
      </c>
      <c r="C7" s="5">
        <v>12</v>
      </c>
      <c r="D7" s="6"/>
      <c r="E7" s="7"/>
      <c r="F7" s="7"/>
      <c r="G7" s="8"/>
      <c r="H7" s="7"/>
      <c r="I7" s="9">
        <f>IF(COUNTA(D7:H7)=0,"",IF(AND(D7=R7,ROUND(E7,2)=ROUND(S7,2),ROUND(F7,2)=ROUND(T7,2),ROUND(G7,4)=ROUND(U7,4),ROUND(H7,2)=ROUND(V7,2)),"✔ נכון","✖ צריך תיקון"))</f>
      </c>
      <c r="K7" s="10">
        <v>0</v>
      </c>
      <c r="L7" s="11">
        <v>0</v>
      </c>
      <c r="R7" t="s">
        <v>16</v>
      </c>
      <c r="S7">
        <v>230</v>
      </c>
      <c r="T7">
        <v>2760</v>
      </c>
      <c r="U7">
        <v>0.07</v>
      </c>
      <c r="V7">
        <v>2566.7999999999997</v>
      </c>
    </row>
    <row r="8" spans="1:22" x14ac:dyDescent="0.25">
      <c r="A8" s="5" t="s">
        <v>17</v>
      </c>
      <c r="B8" s="5" t="s">
        <v>18</v>
      </c>
      <c r="C8" s="5">
        <v>11</v>
      </c>
      <c r="D8" s="6"/>
      <c r="E8" s="7"/>
      <c r="F8" s="7"/>
      <c r="G8" s="8"/>
      <c r="H8" s="7"/>
      <c r="I8" s="9">
        <f>IF(COUNTA(D8:H8)=0,"",IF(AND(D8=R8,ROUND(E8,2)=ROUND(S8,2),ROUND(F8,2)=ROUND(T8,2),ROUND(G8,4)=ROUND(U8,4),ROUND(H8,2)=ROUND(V8,2)),"✔ נכון","✖ צריך תיקון"))</f>
      </c>
      <c r="K8" s="10">
        <v>500</v>
      </c>
      <c r="L8" s="11">
        <v>0.03</v>
      </c>
      <c r="R8" t="s">
        <v>19</v>
      </c>
      <c r="S8">
        <v>570</v>
      </c>
      <c r="T8">
        <v>6270</v>
      </c>
      <c r="U8">
        <v>0.12</v>
      </c>
      <c r="V8">
        <v>5517.6</v>
      </c>
    </row>
    <row r="9" spans="1:22" x14ac:dyDescent="0.25">
      <c r="A9" s="5" t="s">
        <v>20</v>
      </c>
      <c r="B9" s="5" t="s">
        <v>21</v>
      </c>
      <c r="C9" s="5">
        <v>12</v>
      </c>
      <c r="D9" s="6"/>
      <c r="E9" s="7"/>
      <c r="F9" s="7"/>
      <c r="G9" s="8"/>
      <c r="H9" s="7"/>
      <c r="I9" s="9">
        <f>IF(COUNTA(D9:H9)=0,"",IF(AND(D9=R9,ROUND(E9,2)=ROUND(S9,2),ROUND(F9,2)=ROUND(T9,2),ROUND(G9,4)=ROUND(U9,4),ROUND(H9,2)=ROUND(V9,2)),"✔ נכון","✖ צריך תיקון"))</f>
      </c>
      <c r="K9" s="10">
        <v>1500</v>
      </c>
      <c r="L9" s="11">
        <v>0.07</v>
      </c>
      <c r="R9" t="s">
        <v>22</v>
      </c>
      <c r="S9">
        <v>100</v>
      </c>
      <c r="T9">
        <v>1200</v>
      </c>
      <c r="U9">
        <v>0.03</v>
      </c>
      <c r="V9">
        <v>1164</v>
      </c>
    </row>
    <row r="10" spans="1:22" x14ac:dyDescent="0.25">
      <c r="A10" s="5" t="s">
        <v>23</v>
      </c>
      <c r="B10" s="5" t="s">
        <v>24</v>
      </c>
      <c r="C10" s="5">
        <v>7</v>
      </c>
      <c r="D10" s="6"/>
      <c r="E10" s="7"/>
      <c r="F10" s="7"/>
      <c r="G10" s="8"/>
      <c r="H10" s="7"/>
      <c r="I10" s="9">
        <f>IF(COUNTA(D10:H10)=0,"",IF(AND(D10=R10,ROUND(E10,2)=ROUND(S10,2),ROUND(F10,2)=ROUND(T10,2),ROUND(G10,4)=ROUND(U10,4),ROUND(H10,2)=ROUND(V10,2)),"✔ נכון","✖ צריך תיקון"))</f>
      </c>
      <c r="K10" s="10">
        <v>5000</v>
      </c>
      <c r="L10" s="11">
        <v>0.12</v>
      </c>
      <c r="R10" t="s">
        <v>25</v>
      </c>
      <c r="S10">
        <v>30</v>
      </c>
      <c r="T10">
        <v>210</v>
      </c>
      <c r="U10">
        <v>0</v>
      </c>
      <c r="V10">
        <v>210</v>
      </c>
    </row>
    <row r="11" spans="1:22" x14ac:dyDescent="0.25">
      <c r="A11" s="5" t="s">
        <v>26</v>
      </c>
      <c r="B11" s="5" t="s">
        <v>27</v>
      </c>
      <c r="C11" s="5">
        <v>6</v>
      </c>
      <c r="D11" s="6"/>
      <c r="E11" s="7"/>
      <c r="F11" s="7"/>
      <c r="G11" s="8"/>
      <c r="H11" s="7"/>
      <c r="I11" s="9">
        <f>IF(COUNTA(D11:H11)=0,"",IF(AND(D11=R11,ROUND(E11,2)=ROUND(S11,2),ROUND(F11,2)=ROUND(T11,2),ROUND(G11,4)=ROUND(U11,4),ROUND(H11,2)=ROUND(V11,2)),"✔ נכון","✖ צריך תיקון"))</f>
      </c>
      <c r="R11" t="s">
        <v>28</v>
      </c>
      <c r="S11">
        <v>25</v>
      </c>
      <c r="T11">
        <v>150</v>
      </c>
      <c r="U11">
        <v>0</v>
      </c>
      <c r="V11">
        <v>150</v>
      </c>
    </row>
    <row r="12" spans="1:22" x14ac:dyDescent="0.25">
      <c r="A12" s="5" t="s">
        <v>29</v>
      </c>
      <c r="B12" s="5" t="s">
        <v>30</v>
      </c>
      <c r="C12" s="5">
        <v>3</v>
      </c>
      <c r="D12" s="6"/>
      <c r="E12" s="7"/>
      <c r="F12" s="7"/>
      <c r="G12" s="8"/>
      <c r="H12" s="7"/>
      <c r="I12" s="9">
        <f>IF(COUNTA(D12:H12)=0,"",IF(AND(D12=R12,ROUND(E12,2)=ROUND(S12,2),ROUND(F12,2)=ROUND(T12,2),ROUND(G12,4)=ROUND(U12,4),ROUND(H12,2)=ROUND(V12,2)),"✔ נכון","✖ צריך תיקון"))</f>
      </c>
      <c r="R12" t="s">
        <v>31</v>
      </c>
      <c r="S12">
        <v>45</v>
      </c>
      <c r="T12">
        <v>135</v>
      </c>
      <c r="U12">
        <v>0</v>
      </c>
      <c r="V12">
        <v>135</v>
      </c>
    </row>
    <row r="13" spans="1:22" x14ac:dyDescent="0.25">
      <c r="A13" s="5" t="s">
        <v>32</v>
      </c>
      <c r="B13" s="5" t="s">
        <v>33</v>
      </c>
      <c r="C13" s="5">
        <v>11</v>
      </c>
      <c r="D13" s="6"/>
      <c r="E13" s="7"/>
      <c r="F13" s="7"/>
      <c r="G13" s="8"/>
      <c r="H13" s="7"/>
      <c r="I13" s="9">
        <f>IF(COUNTA(D13:H13)=0,"",IF(AND(D13=R13,ROUND(E13,2)=ROUND(S13,2),ROUND(F13,2)=ROUND(T13,2),ROUND(G13,4)=ROUND(U13,4),ROUND(H13,2)=ROUND(V13,2)),"✔ נכון","✖ צריך תיקון"))</f>
      </c>
      <c r="R13" t="s">
        <v>34</v>
      </c>
      <c r="S13">
        <v>325</v>
      </c>
      <c r="T13">
        <v>3575</v>
      </c>
      <c r="U13">
        <v>0.07</v>
      </c>
      <c r="V13">
        <v>3324.75</v>
      </c>
    </row>
    <row r="14" spans="1:22" x14ac:dyDescent="0.25">
      <c r="A14" s="5" t="s">
        <v>35</v>
      </c>
      <c r="B14" s="5" t="s">
        <v>27</v>
      </c>
      <c r="C14" s="5">
        <v>3</v>
      </c>
      <c r="D14" s="6"/>
      <c r="E14" s="7"/>
      <c r="F14" s="7"/>
      <c r="G14" s="8"/>
      <c r="H14" s="7"/>
      <c r="I14" s="9">
        <f>IF(COUNTA(D14:H14)=0,"",IF(AND(D14=R14,ROUND(E14,2)=ROUND(S14,2),ROUND(F14,2)=ROUND(T14,2),ROUND(G14,4)=ROUND(U14,4),ROUND(H14,2)=ROUND(V14,2)),"✔ נכון","✖ צריך תיקון"))</f>
      </c>
      <c r="R14" t="s">
        <v>28</v>
      </c>
      <c r="S14">
        <v>25</v>
      </c>
      <c r="T14">
        <v>75</v>
      </c>
      <c r="U14">
        <v>0</v>
      </c>
      <c r="V14">
        <v>75</v>
      </c>
    </row>
    <row r="15" spans="1:9" x14ac:dyDescent="0.25">
      <c r="A15" s="5" t="s">
        <v>36</v>
      </c>
      <c r="B15" s="5" t="s">
        <v>37</v>
      </c>
      <c r="C15" s="5">
        <v>7</v>
      </c>
      <c r="D15" s="6"/>
      <c r="E15" s="7"/>
      <c r="F15" s="7"/>
      <c r="G15" s="8"/>
      <c r="H15" s="7"/>
      <c r="I15" s="12" t="s">
        <v>38</v>
      </c>
    </row>
    <row r="16" spans="1:22" x14ac:dyDescent="0.25">
      <c r="A16" s="5" t="s">
        <v>39</v>
      </c>
      <c r="B16" s="5" t="s">
        <v>30</v>
      </c>
      <c r="C16" s="5">
        <v>3</v>
      </c>
      <c r="D16" s="6"/>
      <c r="E16" s="7"/>
      <c r="F16" s="7"/>
      <c r="G16" s="8"/>
      <c r="H16" s="7"/>
      <c r="I16" s="9">
        <f>IF(COUNTA(D16:H16)=0,"",IF(AND(D16=R16,ROUND(E16,2)=ROUND(S16,2),ROUND(F16,2)=ROUND(T16,2),ROUND(G16,4)=ROUND(U16,4),ROUND(H16,2)=ROUND(V16,2)),"✔ נכון","✖ צריך תיקון"))</f>
      </c>
      <c r="R16" t="s">
        <v>31</v>
      </c>
      <c r="S16">
        <v>45</v>
      </c>
      <c r="T16">
        <v>135</v>
      </c>
      <c r="U16">
        <v>0</v>
      </c>
      <c r="V16">
        <v>135</v>
      </c>
    </row>
    <row r="17" spans="1:22" x14ac:dyDescent="0.25">
      <c r="A17" s="5" t="s">
        <v>40</v>
      </c>
      <c r="B17" s="5" t="s">
        <v>41</v>
      </c>
      <c r="C17" s="5">
        <v>12</v>
      </c>
      <c r="D17" s="6"/>
      <c r="E17" s="7"/>
      <c r="F17" s="7"/>
      <c r="G17" s="8"/>
      <c r="H17" s="7"/>
      <c r="I17" s="9">
        <f>IF(COUNTA(D17:H17)=0,"",IF(AND(D17=R17,ROUND(E17,2)=ROUND(S17,2),ROUND(F17,2)=ROUND(T17,2),ROUND(G17,4)=ROUND(U17,4),ROUND(H17,2)=ROUND(V17,2)),"✔ נכון","✖ צריך תיקון"))</f>
      </c>
      <c r="R17" t="s">
        <v>42</v>
      </c>
      <c r="S17">
        <v>175</v>
      </c>
      <c r="T17">
        <v>2100</v>
      </c>
      <c r="U17">
        <v>0.07</v>
      </c>
      <c r="V17">
        <v>1952.9999999999998</v>
      </c>
    </row>
    <row r="18" spans="1:22" x14ac:dyDescent="0.25">
      <c r="A18" s="5" t="s">
        <v>43</v>
      </c>
      <c r="B18" s="5" t="s">
        <v>44</v>
      </c>
      <c r="C18" s="5">
        <v>8</v>
      </c>
      <c r="D18" s="6"/>
      <c r="E18" s="7"/>
      <c r="F18" s="7"/>
      <c r="G18" s="8"/>
      <c r="H18" s="7"/>
      <c r="I18" s="9">
        <f>IF(COUNTA(D18:H18)=0,"",IF(AND(D18=R18,ROUND(E18,2)=ROUND(S18,2),ROUND(F18,2)=ROUND(T18,2),ROUND(G18,4)=ROUND(U18,4),ROUND(H18,2)=ROUND(V18,2)),"✔ נכון","✖ צריך תיקון"))</f>
      </c>
      <c r="R18" t="s">
        <v>45</v>
      </c>
      <c r="S18">
        <v>400</v>
      </c>
      <c r="T18">
        <v>3200</v>
      </c>
      <c r="U18">
        <v>0.07</v>
      </c>
      <c r="V18">
        <v>2976</v>
      </c>
    </row>
    <row r="19" spans="1:22" x14ac:dyDescent="0.25">
      <c r="A19" s="5" t="s">
        <v>46</v>
      </c>
      <c r="B19" s="5" t="s">
        <v>47</v>
      </c>
      <c r="C19" s="5">
        <v>8</v>
      </c>
      <c r="D19" s="6"/>
      <c r="E19" s="7"/>
      <c r="F19" s="7"/>
      <c r="G19" s="8"/>
      <c r="H19" s="7"/>
      <c r="I19" s="9">
        <f>IF(COUNTA(D19:H19)=0,"",IF(AND(D19=R19,ROUND(E19,2)=ROUND(S19,2),ROUND(F19,2)=ROUND(T19,2),ROUND(G19,4)=ROUND(U19,4),ROUND(H19,2)=ROUND(V19,2)),"✔ נכון","✖ צריך תיקון"))</f>
      </c>
      <c r="R19" t="s">
        <v>48</v>
      </c>
      <c r="S19">
        <v>265</v>
      </c>
      <c r="T19">
        <v>2120</v>
      </c>
      <c r="U19">
        <v>0.07</v>
      </c>
      <c r="V19">
        <v>1971.6</v>
      </c>
    </row>
    <row r="20" spans="1:22" x14ac:dyDescent="0.25">
      <c r="A20" s="5" t="s">
        <v>49</v>
      </c>
      <c r="B20" s="5" t="s">
        <v>50</v>
      </c>
      <c r="C20" s="5">
        <v>1</v>
      </c>
      <c r="D20" s="6"/>
      <c r="E20" s="7"/>
      <c r="F20" s="7"/>
      <c r="G20" s="8"/>
      <c r="H20" s="7"/>
      <c r="I20" s="9">
        <f>IF(COUNTA(D20:H20)=0,"",IF(AND(D20=R20,ROUND(E20,2)=ROUND(S20,2),ROUND(F20,2)=ROUND(T20,2),ROUND(G20,4)=ROUND(U20,4),ROUND(H20,2)=ROUND(V20,2)),"✔ נכון","✖ צריך תיקון"))</f>
      </c>
      <c r="R20" t="s">
        <v>51</v>
      </c>
      <c r="S20">
        <v>275</v>
      </c>
      <c r="T20">
        <v>275</v>
      </c>
      <c r="U20">
        <v>0</v>
      </c>
      <c r="V20">
        <v>275</v>
      </c>
    </row>
    <row r="21" spans="1:22" x14ac:dyDescent="0.25">
      <c r="A21" s="5" t="s">
        <v>52</v>
      </c>
      <c r="B21" s="5" t="s">
        <v>33</v>
      </c>
      <c r="C21" s="5">
        <v>9</v>
      </c>
      <c r="D21" s="6"/>
      <c r="E21" s="7"/>
      <c r="F21" s="7"/>
      <c r="G21" s="8"/>
      <c r="H21" s="7"/>
      <c r="I21" s="9">
        <f>IF(COUNTA(D21:H21)=0,"",IF(AND(D21=R21,ROUND(E21,2)=ROUND(S21,2),ROUND(F21,2)=ROUND(T21,2),ROUND(G21,4)=ROUND(U21,4),ROUND(H21,2)=ROUND(V21,2)),"✔ נכון","✖ צריך תיקון"))</f>
      </c>
      <c r="R21" t="s">
        <v>34</v>
      </c>
      <c r="S21">
        <v>325</v>
      </c>
      <c r="T21">
        <v>2925</v>
      </c>
      <c r="U21">
        <v>0.07</v>
      </c>
      <c r="V21">
        <v>2720.25</v>
      </c>
    </row>
    <row r="22" spans="1:22" x14ac:dyDescent="0.25">
      <c r="A22" s="5" t="s">
        <v>53</v>
      </c>
      <c r="B22" s="5" t="s">
        <v>54</v>
      </c>
      <c r="C22" s="5">
        <v>4</v>
      </c>
      <c r="D22" s="6"/>
      <c r="E22" s="7"/>
      <c r="F22" s="7"/>
      <c r="G22" s="8"/>
      <c r="H22" s="7"/>
      <c r="I22" s="9">
        <f>IF(COUNTA(D22:H22)=0,"",IF(AND(D22=R22,ROUND(E22,2)=ROUND(S22,2),ROUND(F22,2)=ROUND(T22,2),ROUND(G22,4)=ROUND(U22,4),ROUND(H22,2)=ROUND(V22,2)),"✔ נכון","✖ צריך תיקון"))</f>
      </c>
      <c r="R22" t="s">
        <v>55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s="5" t="s">
        <v>56</v>
      </c>
      <c r="B23" s="5" t="s">
        <v>57</v>
      </c>
      <c r="C23" s="5">
        <v>9</v>
      </c>
      <c r="D23" s="6"/>
      <c r="E23" s="7"/>
      <c r="F23" s="7"/>
      <c r="G23" s="8"/>
      <c r="H23" s="7"/>
      <c r="I23" s="9">
        <f>IF(COUNTA(D23:H23)=0,"",IF(AND(D23=R23,ROUND(E23,2)=ROUND(S23,2),ROUND(F23,2)=ROUND(T23,2),ROUND(G23,4)=ROUND(U23,4),ROUND(H23,2)=ROUND(V23,2)),"✔ נכון","✖ צריך תיקון"))</f>
      </c>
      <c r="R23" t="s">
        <v>58</v>
      </c>
      <c r="S23">
        <v>55</v>
      </c>
      <c r="T23">
        <v>495</v>
      </c>
      <c r="U23">
        <v>0</v>
      </c>
      <c r="V23">
        <v>495</v>
      </c>
    </row>
    <row r="24" spans="1:22" x14ac:dyDescent="0.25">
      <c r="A24" s="5" t="s">
        <v>59</v>
      </c>
      <c r="B24" s="5" t="s">
        <v>57</v>
      </c>
      <c r="C24" s="5">
        <v>2</v>
      </c>
      <c r="D24" s="6"/>
      <c r="E24" s="7"/>
      <c r="F24" s="7"/>
      <c r="G24" s="8"/>
      <c r="H24" s="7"/>
      <c r="I24" s="9">
        <f>IF(COUNTA(D24:H24)=0,"",IF(AND(D24=R24,ROUND(E24,2)=ROUND(S24,2),ROUND(F24,2)=ROUND(T24,2),ROUND(G24,4)=ROUND(U24,4),ROUND(H24,2)=ROUND(V24,2)),"✔ נכון","✖ צריך תיקון"))</f>
      </c>
      <c r="R24" t="s">
        <v>58</v>
      </c>
      <c r="S24">
        <v>55</v>
      </c>
      <c r="T24">
        <v>110</v>
      </c>
      <c r="U24">
        <v>0</v>
      </c>
      <c r="V24">
        <v>110</v>
      </c>
    </row>
    <row r="25" spans="1:22" x14ac:dyDescent="0.25">
      <c r="A25" s="5" t="s">
        <v>60</v>
      </c>
      <c r="B25" s="5" t="s">
        <v>61</v>
      </c>
      <c r="C25" s="5">
        <v>3</v>
      </c>
      <c r="D25" s="6"/>
      <c r="E25" s="7"/>
      <c r="F25" s="7"/>
      <c r="G25" s="8"/>
      <c r="H25" s="7"/>
      <c r="I25" s="9">
        <f>IF(COUNTA(D25:H25)=0,"",IF(AND(D25=R25,ROUND(E25,2)=ROUND(S25,2),ROUND(F25,2)=ROUND(T25,2),ROUND(G25,4)=ROUND(U25,4),ROUND(H25,2)=ROUND(V25,2)),"✔ נכון","✖ צריך תיקון"))</f>
      </c>
      <c r="R25" t="s">
        <v>62</v>
      </c>
      <c r="S25">
        <v>30</v>
      </c>
      <c r="T25">
        <v>90</v>
      </c>
      <c r="U25">
        <v>0</v>
      </c>
      <c r="V25">
        <v>90</v>
      </c>
    </row>
    <row r="26" spans="1:22" x14ac:dyDescent="0.25">
      <c r="A26" s="5" t="s">
        <v>63</v>
      </c>
      <c r="B26" s="5" t="s">
        <v>64</v>
      </c>
      <c r="C26" s="5">
        <v>6</v>
      </c>
      <c r="D26" s="6"/>
      <c r="E26" s="7"/>
      <c r="F26" s="7"/>
      <c r="G26" s="8"/>
      <c r="H26" s="7"/>
      <c r="I26" s="9">
        <f>IF(COUNTA(D26:H26)=0,"",IF(AND(D26=R26,ROUND(E26,2)=ROUND(S26,2),ROUND(F26,2)=ROUND(T26,2),ROUND(G26,4)=ROUND(U26,4),ROUND(H26,2)=ROUND(V26,2)),"✔ נכון","✖ צריך תיקון"))</f>
      </c>
      <c r="R26" t="s">
        <v>65</v>
      </c>
      <c r="S26">
        <v>485</v>
      </c>
      <c r="T26">
        <v>2910</v>
      </c>
      <c r="U26">
        <v>0.07</v>
      </c>
      <c r="V26">
        <v>2706.2999999999997</v>
      </c>
    </row>
    <row r="27" spans="1:22" x14ac:dyDescent="0.25">
      <c r="A27" s="5" t="s">
        <v>66</v>
      </c>
      <c r="B27" s="5" t="s">
        <v>67</v>
      </c>
      <c r="C27" s="5">
        <v>4</v>
      </c>
      <c r="D27" s="6"/>
      <c r="E27" s="7"/>
      <c r="F27" s="7"/>
      <c r="G27" s="8"/>
      <c r="H27" s="7"/>
      <c r="I27" s="9">
        <f>IF(COUNTA(D27:H27)=0,"",IF(AND(D27=R27,ROUND(E27,2)=ROUND(S27,2),ROUND(F27,2)=ROUND(T27,2),ROUND(G27,4)=ROUND(U27,4),ROUND(H27,2)=ROUND(V27,2)),"✔ נכון","✖ צריך תיקון"))</f>
      </c>
      <c r="R27" t="s">
        <v>68</v>
      </c>
      <c r="S27">
        <v>745</v>
      </c>
      <c r="T27">
        <v>2980</v>
      </c>
      <c r="U27">
        <v>0.07</v>
      </c>
      <c r="V27">
        <v>2771.3999999999996</v>
      </c>
    </row>
    <row r="28" spans="1:9" x14ac:dyDescent="0.25">
      <c r="A28" s="5" t="s">
        <v>69</v>
      </c>
      <c r="B28" s="5" t="s">
        <v>70</v>
      </c>
      <c r="C28" s="5">
        <v>4</v>
      </c>
      <c r="D28" s="6"/>
      <c r="E28" s="7"/>
      <c r="F28" s="7"/>
      <c r="G28" s="8"/>
      <c r="H28" s="7"/>
      <c r="I28" s="12" t="s">
        <v>38</v>
      </c>
    </row>
    <row r="29" spans="1:22" x14ac:dyDescent="0.25">
      <c r="A29" s="5" t="s">
        <v>71</v>
      </c>
      <c r="B29" s="5" t="s">
        <v>72</v>
      </c>
      <c r="C29" s="5">
        <v>6</v>
      </c>
      <c r="D29" s="6"/>
      <c r="E29" s="7"/>
      <c r="F29" s="7"/>
      <c r="G29" s="8"/>
      <c r="H29" s="7"/>
      <c r="I29" s="9">
        <f>IF(COUNTA(D29:H29)=0,"",IF(AND(D29=R29,ROUND(E29,2)=ROUND(S29,2),ROUND(F29,2)=ROUND(T29,2),ROUND(G29,4)=ROUND(U29,4),ROUND(H29,2)=ROUND(V29,2)),"✔ נכון","✖ צריך תיקון"))</f>
      </c>
      <c r="R29" t="s">
        <v>73</v>
      </c>
      <c r="S29">
        <v>460</v>
      </c>
      <c r="T29">
        <v>2760</v>
      </c>
      <c r="U29">
        <v>0.07</v>
      </c>
      <c r="V29">
        <v>2566.7999999999997</v>
      </c>
    </row>
    <row r="30" spans="1:22" x14ac:dyDescent="0.25">
      <c r="A30" s="5" t="s">
        <v>74</v>
      </c>
      <c r="B30" s="5" t="s">
        <v>75</v>
      </c>
      <c r="C30" s="5">
        <v>5</v>
      </c>
      <c r="D30" s="6"/>
      <c r="E30" s="7"/>
      <c r="F30" s="7"/>
      <c r="G30" s="8"/>
      <c r="H30" s="7"/>
      <c r="I30" s="9">
        <f>IF(COUNTA(D30:H30)=0,"",IF(AND(D30=R30,ROUND(E30,2)=ROUND(S30,2),ROUND(F30,2)=ROUND(T30,2),ROUND(G30,4)=ROUND(U30,4),ROUND(H30,2)=ROUND(V30,2)),"✔ נכון","✖ צריך תיקון"))</f>
      </c>
      <c r="R30" t="s">
        <v>76</v>
      </c>
      <c r="S30">
        <v>110</v>
      </c>
      <c r="T30">
        <v>550</v>
      </c>
      <c r="U30">
        <v>0.03</v>
      </c>
      <c r="V30">
        <v>533.5</v>
      </c>
    </row>
    <row r="31" spans="1:22" x14ac:dyDescent="0.25">
      <c r="A31" s="5" t="s">
        <v>77</v>
      </c>
      <c r="B31" s="5" t="s">
        <v>78</v>
      </c>
      <c r="C31" s="5">
        <v>2</v>
      </c>
      <c r="D31" s="6"/>
      <c r="E31" s="7"/>
      <c r="F31" s="7"/>
      <c r="G31" s="8"/>
      <c r="H31" s="7"/>
      <c r="I31" s="9">
        <f>IF(COUNTA(D31:H31)=0,"",IF(AND(D31=R31,ROUND(E31,2)=ROUND(S31,2),ROUND(F31,2)=ROUND(T31,2),ROUND(G31,4)=ROUND(U31,4),ROUND(H31,2)=ROUND(V31,2)),"✔ נכון","✖ צריך תיקון"))</f>
      </c>
      <c r="R31" t="s">
        <v>79</v>
      </c>
      <c r="S31">
        <v>290</v>
      </c>
      <c r="T31">
        <v>580</v>
      </c>
      <c r="U31">
        <v>0.03</v>
      </c>
      <c r="V31">
        <v>562.6</v>
      </c>
    </row>
    <row r="32" spans="1:22" x14ac:dyDescent="0.25">
      <c r="A32" s="5" t="s">
        <v>80</v>
      </c>
      <c r="B32" s="5" t="s">
        <v>61</v>
      </c>
      <c r="C32" s="5">
        <v>7</v>
      </c>
      <c r="D32" s="6"/>
      <c r="E32" s="7"/>
      <c r="F32" s="7"/>
      <c r="G32" s="8"/>
      <c r="H32" s="7"/>
      <c r="I32" s="9">
        <f>IF(COUNTA(D32:H32)=0,"",IF(AND(D32=R32,ROUND(E32,2)=ROUND(S32,2),ROUND(F32,2)=ROUND(T32,2),ROUND(G32,4)=ROUND(U32,4),ROUND(H32,2)=ROUND(V32,2)),"✔ נכון","✖ צריך תיקון"))</f>
      </c>
      <c r="R32" t="s">
        <v>62</v>
      </c>
      <c r="S32">
        <v>30</v>
      </c>
      <c r="T32">
        <v>210</v>
      </c>
      <c r="U32">
        <v>0</v>
      </c>
      <c r="V32">
        <v>210</v>
      </c>
    </row>
    <row r="33" spans="1:22" x14ac:dyDescent="0.25">
      <c r="A33" s="5" t="s">
        <v>81</v>
      </c>
      <c r="B33" s="5" t="s">
        <v>47</v>
      </c>
      <c r="C33" s="5">
        <v>7</v>
      </c>
      <c r="D33" s="6"/>
      <c r="E33" s="7"/>
      <c r="F33" s="7"/>
      <c r="G33" s="8"/>
      <c r="H33" s="7"/>
      <c r="I33" s="9">
        <f>IF(COUNTA(D33:H33)=0,"",IF(AND(D33=R33,ROUND(E33,2)=ROUND(S33,2),ROUND(F33,2)=ROUND(T33,2),ROUND(G33,4)=ROUND(U33,4),ROUND(H33,2)=ROUND(V33,2)),"✔ נכון","✖ צריך תיקון"))</f>
      </c>
      <c r="R33" t="s">
        <v>48</v>
      </c>
      <c r="S33">
        <v>265</v>
      </c>
      <c r="T33">
        <v>1855</v>
      </c>
      <c r="U33">
        <v>0.07</v>
      </c>
      <c r="V33">
        <v>1725.1499999999999</v>
      </c>
    </row>
    <row r="34" spans="1:22" x14ac:dyDescent="0.25">
      <c r="A34" s="5" t="s">
        <v>82</v>
      </c>
      <c r="B34" s="5" t="s">
        <v>83</v>
      </c>
      <c r="C34" s="5">
        <v>12</v>
      </c>
      <c r="D34" s="6"/>
      <c r="E34" s="7"/>
      <c r="F34" s="7"/>
      <c r="G34" s="8"/>
      <c r="H34" s="7"/>
      <c r="I34" s="9">
        <f>IF(COUNTA(D34:H34)=0,"",IF(AND(D34=R34,ROUND(E34,2)=ROUND(S34,2),ROUND(F34,2)=ROUND(T34,2),ROUND(G34,4)=ROUND(U34,4),ROUND(H34,2)=ROUND(V34,2)),"✔ נכון","✖ צריך תיקון"))</f>
      </c>
      <c r="R34" t="s">
        <v>84</v>
      </c>
      <c r="S34">
        <v>305</v>
      </c>
      <c r="T34">
        <v>3660</v>
      </c>
      <c r="U34">
        <v>0.07</v>
      </c>
      <c r="V34">
        <v>3403.7999999999997</v>
      </c>
    </row>
    <row r="35" spans="1:22" x14ac:dyDescent="0.25">
      <c r="A35" s="5" t="s">
        <v>85</v>
      </c>
      <c r="B35" s="5" t="s">
        <v>86</v>
      </c>
      <c r="C35" s="5">
        <v>11</v>
      </c>
      <c r="D35" s="6"/>
      <c r="E35" s="7"/>
      <c r="F35" s="7"/>
      <c r="G35" s="8"/>
      <c r="H35" s="7"/>
      <c r="I35" s="9">
        <f>IF(COUNTA(D35:H35)=0,"",IF(AND(D35=R35,ROUND(E35,2)=ROUND(S35,2),ROUND(F35,2)=ROUND(T35,2),ROUND(G35,4)=ROUND(U35,4),ROUND(H35,2)=ROUND(V35,2)),"✔ נכון","✖ צריך תיקון"))</f>
      </c>
      <c r="R35" t="s">
        <v>87</v>
      </c>
      <c r="S35">
        <v>415</v>
      </c>
      <c r="T35">
        <v>4565</v>
      </c>
      <c r="U35">
        <v>0.07</v>
      </c>
      <c r="V35">
        <v>4245.45</v>
      </c>
    </row>
    <row r="36" spans="1:22" x14ac:dyDescent="0.25">
      <c r="A36" s="5" t="s">
        <v>88</v>
      </c>
      <c r="B36" s="5" t="s">
        <v>89</v>
      </c>
      <c r="C36" s="5">
        <v>9</v>
      </c>
      <c r="D36" s="6"/>
      <c r="E36" s="7"/>
      <c r="F36" s="7"/>
      <c r="G36" s="8"/>
      <c r="H36" s="7"/>
      <c r="I36" s="9">
        <f>IF(COUNTA(D36:H36)=0,"",IF(AND(D36=R36,ROUND(E36,2)=ROUND(S36,2),ROUND(F36,2)=ROUND(T36,2),ROUND(G36,4)=ROUND(U36,4),ROUND(H36,2)=ROUND(V36,2)),"✔ נכון","✖ צריך תיקון"))</f>
      </c>
      <c r="R36" t="s">
        <v>90</v>
      </c>
      <c r="S36">
        <v>20</v>
      </c>
      <c r="T36">
        <v>180</v>
      </c>
      <c r="U36">
        <v>0</v>
      </c>
      <c r="V36">
        <v>180</v>
      </c>
    </row>
    <row r="38" spans="1:4" x14ac:dyDescent="0.25">
      <c r="A38" s="13" t="s">
        <v>91</v>
      </c>
      <c r="B38" s="13"/>
      <c r="C38" s="13"/>
      <c r="D38" s="9">
        <f>IF(COUNT(G7:G36)=0,"",COUNTIF(G7:G36,"&gt;0"))</f>
      </c>
    </row>
    <row r="39" spans="1:9" x14ac:dyDescent="0.25">
      <c r="A39" s="2" t="s">
        <v>92</v>
      </c>
      <c r="B39" s="2"/>
      <c r="C39" s="2"/>
      <c r="D39" s="2"/>
      <c r="E39" s="2"/>
      <c r="F39" s="2"/>
      <c r="G39" s="2"/>
      <c r="H39" s="2"/>
      <c r="I39" s="2"/>
    </row>
    <row r="41" spans="1:8" x14ac:dyDescent="0.25">
      <c r="A41" s="13" t="s">
        <v>93</v>
      </c>
      <c r="B41" s="13"/>
      <c r="C41" s="13"/>
      <c r="D41" s="6"/>
      <c r="E41" s="6"/>
      <c r="F41" s="6"/>
      <c r="G41" s="6"/>
      <c r="H41" s="9">
        <f>IF(D41="","",IF(D41="המק״ט הזה פשוט לא קיים בקטלוג","✔ נכון","✖ לא זה"))</f>
      </c>
    </row>
    <row r="43" spans="1:8" x14ac:dyDescent="0.25">
      <c r="A43" s="13" t="s">
        <v>94</v>
      </c>
      <c r="B43" s="13"/>
      <c r="C43" s="13"/>
      <c r="D43" s="6"/>
      <c r="E43" s="6"/>
      <c r="F43" s="6"/>
      <c r="G43" s="6"/>
      <c r="H43" s="9">
        <f>IF(D43="","",IF(D43="החיפוש הצליח — אבל תא המחיר בקטלוג ריק","✔ נכון","✖ לא זה"))</f>
      </c>
    </row>
    <row r="45" ht="30" customHeight="1" spans="1:9" x14ac:dyDescent="0.25">
      <c r="A45" s="2" t="s">
        <v>95</v>
      </c>
      <c r="B45" s="2"/>
      <c r="C45" s="2"/>
      <c r="D45" s="2"/>
      <c r="E45" s="2"/>
      <c r="F45" s="2"/>
      <c r="G45" s="2"/>
      <c r="H45" s="2"/>
      <c r="I45" s="2"/>
    </row>
    <row r="47" spans="1:10" x14ac:dyDescent="0.25">
      <c r="A47" s="14" t="s">
        <v>96</v>
      </c>
      <c r="B47" s="14"/>
      <c r="C47" s="14"/>
      <c r="D47" s="14"/>
      <c r="E47" s="14"/>
      <c r="F47" s="14"/>
      <c r="G47" s="14"/>
      <c r="H47" s="14"/>
      <c r="I47" s="14"/>
      <c r="J47" s="14"/>
    </row>
    <row r="48" ht="30" customHeight="1" spans="1:10" x14ac:dyDescent="0.25">
      <c r="A48" s="2" t="s">
        <v>97</v>
      </c>
      <c r="B48" s="2"/>
      <c r="C48" s="2"/>
      <c r="D48" s="2"/>
      <c r="E48" s="2"/>
      <c r="F48" s="2"/>
      <c r="G48" s="2"/>
      <c r="H48" s="2"/>
      <c r="I48" s="2"/>
      <c r="J48" s="2"/>
    </row>
  </sheetData>
  <mergeCells count="13">
    <mergeCell ref="A1:I1"/>
    <mergeCell ref="A2:I2"/>
    <mergeCell ref="A3:I3"/>
    <mergeCell ref="A4:I4"/>
    <mergeCell ref="A38:C38"/>
    <mergeCell ref="A39:I39"/>
    <mergeCell ref="A41:C41"/>
    <mergeCell ref="D41:G41"/>
    <mergeCell ref="A43:C43"/>
    <mergeCell ref="D43:G43"/>
    <mergeCell ref="A45:I45"/>
    <mergeCell ref="A47:J47"/>
    <mergeCell ref="A48:J48"/>
  </mergeCells>
  <dataValidations count="2">
    <dataValidation type="list" allowBlank="1" showErrorMessage="1" errorTitle="בחרו מהרשימה" error="יש לבחור אחת מהאפשרויות." sqref="D41">
      <formula1>"המק״ט הזה פשוט לא קיים בקטלוג,שכחנו לקבע את הטווחים,הטבלה לא ממוינת,הגרסה של אקסל ישנה מדי"</formula1>
    </dataValidation>
    <dataValidation type="list" allowBlank="1" showErrorMessage="1" errorTitle="בחרו מהרשימה" error="יש לבחור אחת מהאפשרויות." sqref="D43">
      <formula1>"החיפוש הצליח — אבל תא המחיר בקטלוג ריק,המק״ט לא קיים בקטלוג,החלק באמת ניתן במתנה,הנוסחה שגויה"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4"/>
  <sheetViews>
    <sheetView workbookViewId="0" rightToLeft="1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16" customWidth="1"/>
  </cols>
  <sheetData>
    <row r="1" ht="26" customHeight="1" spans="1:3" x14ac:dyDescent="0.25">
      <c r="A1" s="1" t="s">
        <v>98</v>
      </c>
      <c r="B1" s="1"/>
      <c r="C1" s="1"/>
    </row>
    <row r="2" spans="1:3" x14ac:dyDescent="0.25">
      <c r="A2" s="2" t="s">
        <v>99</v>
      </c>
      <c r="B2" s="2"/>
      <c r="C2" s="2"/>
    </row>
    <row r="4" ht="28" customHeight="1" spans="1:3" x14ac:dyDescent="0.25">
      <c r="A4" s="4" t="s">
        <v>5</v>
      </c>
      <c r="B4" s="4" t="s">
        <v>7</v>
      </c>
      <c r="C4" s="4" t="s">
        <v>8</v>
      </c>
    </row>
    <row r="5" spans="1:3" x14ac:dyDescent="0.25">
      <c r="A5" s="5" t="s">
        <v>100</v>
      </c>
      <c r="B5" s="15" t="s">
        <v>101</v>
      </c>
      <c r="C5" s="10">
        <v>85</v>
      </c>
    </row>
    <row r="6" spans="1:3" x14ac:dyDescent="0.25">
      <c r="A6" s="5" t="s">
        <v>102</v>
      </c>
      <c r="B6" s="15" t="s">
        <v>103</v>
      </c>
      <c r="C6" s="10">
        <v>110</v>
      </c>
    </row>
    <row r="7" spans="1:3" x14ac:dyDescent="0.25">
      <c r="A7" s="5" t="s">
        <v>104</v>
      </c>
      <c r="B7" s="15" t="s">
        <v>105</v>
      </c>
      <c r="C7" s="10">
        <v>100</v>
      </c>
    </row>
    <row r="8" spans="1:3" x14ac:dyDescent="0.25">
      <c r="A8" s="5" t="s">
        <v>106</v>
      </c>
      <c r="B8" s="15" t="s">
        <v>107</v>
      </c>
      <c r="C8" s="10">
        <v>85</v>
      </c>
    </row>
    <row r="9" spans="1:3" x14ac:dyDescent="0.25">
      <c r="A9" s="5" t="s">
        <v>108</v>
      </c>
      <c r="B9" s="15" t="s">
        <v>109</v>
      </c>
      <c r="C9" s="10">
        <v>50</v>
      </c>
    </row>
    <row r="10" spans="1:3" x14ac:dyDescent="0.25">
      <c r="A10" s="5" t="s">
        <v>110</v>
      </c>
      <c r="B10" s="15" t="s">
        <v>111</v>
      </c>
      <c r="C10" s="10">
        <v>115</v>
      </c>
    </row>
    <row r="11" spans="1:3" x14ac:dyDescent="0.25">
      <c r="A11" s="5" t="s">
        <v>112</v>
      </c>
      <c r="B11" s="15" t="s">
        <v>113</v>
      </c>
      <c r="C11" s="10">
        <v>110</v>
      </c>
    </row>
    <row r="12" spans="1:3" x14ac:dyDescent="0.25">
      <c r="A12" s="5" t="s">
        <v>114</v>
      </c>
      <c r="B12" s="15" t="s">
        <v>115</v>
      </c>
      <c r="C12" s="10">
        <v>100</v>
      </c>
    </row>
    <row r="13" spans="1:3" x14ac:dyDescent="0.25">
      <c r="A13" s="5" t="s">
        <v>116</v>
      </c>
      <c r="B13" s="15" t="s">
        <v>117</v>
      </c>
      <c r="C13" s="10">
        <v>50</v>
      </c>
    </row>
    <row r="14" spans="1:3" x14ac:dyDescent="0.25">
      <c r="A14" s="5" t="s">
        <v>118</v>
      </c>
      <c r="B14" s="15" t="s">
        <v>119</v>
      </c>
      <c r="C14" s="10">
        <v>90</v>
      </c>
    </row>
    <row r="15" spans="1:3" x14ac:dyDescent="0.25">
      <c r="A15" s="5" t="s">
        <v>120</v>
      </c>
      <c r="B15" s="15" t="s">
        <v>121</v>
      </c>
      <c r="C15" s="10">
        <v>80</v>
      </c>
    </row>
    <row r="16" spans="1:3" x14ac:dyDescent="0.25">
      <c r="A16" s="5" t="s">
        <v>122</v>
      </c>
      <c r="B16" s="15" t="s">
        <v>123</v>
      </c>
      <c r="C16" s="10">
        <v>110</v>
      </c>
    </row>
    <row r="17" spans="1:3" x14ac:dyDescent="0.25">
      <c r="A17" s="5" t="s">
        <v>124</v>
      </c>
      <c r="B17" s="15" t="s">
        <v>125</v>
      </c>
      <c r="C17" s="10">
        <v>100</v>
      </c>
    </row>
    <row r="18" spans="1:3" x14ac:dyDescent="0.25">
      <c r="A18" s="5" t="s">
        <v>126</v>
      </c>
      <c r="B18" s="15" t="s">
        <v>127</v>
      </c>
      <c r="C18" s="10">
        <v>85</v>
      </c>
    </row>
    <row r="19" spans="1:3" x14ac:dyDescent="0.25">
      <c r="A19" s="5" t="s">
        <v>128</v>
      </c>
      <c r="B19" s="15" t="s">
        <v>129</v>
      </c>
      <c r="C19" s="10">
        <v>110</v>
      </c>
    </row>
    <row r="20" spans="1:3" x14ac:dyDescent="0.25">
      <c r="A20" s="5" t="s">
        <v>15</v>
      </c>
      <c r="B20" s="15" t="s">
        <v>16</v>
      </c>
      <c r="C20" s="10">
        <v>230</v>
      </c>
    </row>
    <row r="21" spans="1:3" x14ac:dyDescent="0.25">
      <c r="A21" s="5" t="s">
        <v>130</v>
      </c>
      <c r="B21" s="15" t="s">
        <v>131</v>
      </c>
      <c r="C21" s="10">
        <v>165</v>
      </c>
    </row>
    <row r="22" spans="1:3" x14ac:dyDescent="0.25">
      <c r="A22" s="5" t="s">
        <v>132</v>
      </c>
      <c r="B22" s="15" t="s">
        <v>133</v>
      </c>
      <c r="C22" s="10">
        <v>175</v>
      </c>
    </row>
    <row r="23" spans="1:3" x14ac:dyDescent="0.25">
      <c r="A23" s="5" t="s">
        <v>134</v>
      </c>
      <c r="B23" s="15" t="s">
        <v>135</v>
      </c>
      <c r="C23" s="10">
        <v>265</v>
      </c>
    </row>
    <row r="24" spans="1:3" x14ac:dyDescent="0.25">
      <c r="A24" s="5" t="s">
        <v>136</v>
      </c>
      <c r="B24" s="15" t="s">
        <v>137</v>
      </c>
      <c r="C24" s="10">
        <v>210</v>
      </c>
    </row>
    <row r="25" spans="1:3" x14ac:dyDescent="0.25">
      <c r="A25" s="5" t="s">
        <v>138</v>
      </c>
      <c r="B25" s="15" t="s">
        <v>139</v>
      </c>
      <c r="C25" s="10">
        <v>275</v>
      </c>
    </row>
    <row r="26" spans="1:3" x14ac:dyDescent="0.25">
      <c r="A26" s="5" t="s">
        <v>140</v>
      </c>
      <c r="B26" s="15" t="s">
        <v>141</v>
      </c>
      <c r="C26" s="10">
        <v>240</v>
      </c>
    </row>
    <row r="27" spans="1:3" x14ac:dyDescent="0.25">
      <c r="A27" s="5" t="s">
        <v>142</v>
      </c>
      <c r="B27" s="15" t="s">
        <v>143</v>
      </c>
      <c r="C27" s="10">
        <v>285</v>
      </c>
    </row>
    <row r="28" spans="1:3" x14ac:dyDescent="0.25">
      <c r="A28" s="5" t="s">
        <v>144</v>
      </c>
      <c r="B28" s="15" t="s">
        <v>145</v>
      </c>
      <c r="C28" s="10">
        <v>205</v>
      </c>
    </row>
    <row r="29" spans="1:3" x14ac:dyDescent="0.25">
      <c r="A29" s="5" t="s">
        <v>146</v>
      </c>
      <c r="B29" s="15" t="s">
        <v>147</v>
      </c>
      <c r="C29" s="10">
        <v>240</v>
      </c>
    </row>
    <row r="30" spans="1:3" x14ac:dyDescent="0.25">
      <c r="A30" s="5" t="s">
        <v>148</v>
      </c>
      <c r="B30" s="15" t="s">
        <v>149</v>
      </c>
      <c r="C30" s="10">
        <v>180</v>
      </c>
    </row>
    <row r="31" spans="1:3" x14ac:dyDescent="0.25">
      <c r="A31" s="5" t="s">
        <v>150</v>
      </c>
      <c r="B31" s="15" t="s">
        <v>151</v>
      </c>
      <c r="C31" s="10">
        <v>160</v>
      </c>
    </row>
    <row r="32" spans="1:3" x14ac:dyDescent="0.25">
      <c r="A32" s="5" t="s">
        <v>152</v>
      </c>
      <c r="B32" s="15" t="s">
        <v>153</v>
      </c>
      <c r="C32" s="10">
        <v>210</v>
      </c>
    </row>
    <row r="33" spans="1:3" x14ac:dyDescent="0.25">
      <c r="A33" s="5" t="s">
        <v>154</v>
      </c>
      <c r="B33" s="15" t="s">
        <v>155</v>
      </c>
      <c r="C33" s="10">
        <v>310</v>
      </c>
    </row>
    <row r="34" spans="1:3" x14ac:dyDescent="0.25">
      <c r="A34" s="5" t="s">
        <v>156</v>
      </c>
      <c r="B34" s="15" t="s">
        <v>157</v>
      </c>
      <c r="C34" s="10">
        <v>220</v>
      </c>
    </row>
    <row r="35" spans="1:3" x14ac:dyDescent="0.25">
      <c r="A35" s="5" t="s">
        <v>158</v>
      </c>
      <c r="B35" s="15" t="s">
        <v>159</v>
      </c>
      <c r="C35" s="10">
        <v>30</v>
      </c>
    </row>
    <row r="36" spans="1:3" x14ac:dyDescent="0.25">
      <c r="A36" s="5" t="s">
        <v>160</v>
      </c>
      <c r="B36" s="15" t="s">
        <v>161</v>
      </c>
      <c r="C36" s="10">
        <v>55</v>
      </c>
    </row>
    <row r="37" spans="1:3" x14ac:dyDescent="0.25">
      <c r="A37" s="5" t="s">
        <v>162</v>
      </c>
      <c r="B37" s="15" t="s">
        <v>163</v>
      </c>
      <c r="C37" s="10">
        <v>15</v>
      </c>
    </row>
    <row r="38" spans="1:3" x14ac:dyDescent="0.25">
      <c r="A38" s="5" t="s">
        <v>54</v>
      </c>
      <c r="B38" s="15" t="s">
        <v>55</v>
      </c>
      <c r="C38" s="10"/>
    </row>
    <row r="39" spans="1:3" x14ac:dyDescent="0.25">
      <c r="A39" s="5" t="s">
        <v>164</v>
      </c>
      <c r="B39" s="15" t="s">
        <v>165</v>
      </c>
      <c r="C39" s="10">
        <v>60</v>
      </c>
    </row>
    <row r="40" spans="1:3" x14ac:dyDescent="0.25">
      <c r="A40" s="5" t="s">
        <v>166</v>
      </c>
      <c r="B40" s="15" t="s">
        <v>167</v>
      </c>
      <c r="C40" s="10">
        <v>60</v>
      </c>
    </row>
    <row r="41" spans="1:3" x14ac:dyDescent="0.25">
      <c r="A41" s="5" t="s">
        <v>168</v>
      </c>
      <c r="B41" s="15" t="s">
        <v>169</v>
      </c>
      <c r="C41" s="10">
        <v>65</v>
      </c>
    </row>
    <row r="42" spans="1:3" x14ac:dyDescent="0.25">
      <c r="A42" s="5" t="s">
        <v>27</v>
      </c>
      <c r="B42" s="15" t="s">
        <v>28</v>
      </c>
      <c r="C42" s="10">
        <v>25</v>
      </c>
    </row>
    <row r="43" spans="1:3" x14ac:dyDescent="0.25">
      <c r="A43" s="5" t="s">
        <v>170</v>
      </c>
      <c r="B43" s="15" t="s">
        <v>171</v>
      </c>
      <c r="C43" s="10">
        <v>25</v>
      </c>
    </row>
    <row r="44" spans="1:3" x14ac:dyDescent="0.25">
      <c r="A44" s="5" t="s">
        <v>30</v>
      </c>
      <c r="B44" s="15" t="s">
        <v>31</v>
      </c>
      <c r="C44" s="10">
        <v>45</v>
      </c>
    </row>
    <row r="45" spans="1:3" x14ac:dyDescent="0.25">
      <c r="A45" s="5" t="s">
        <v>172</v>
      </c>
      <c r="B45" s="15" t="s">
        <v>173</v>
      </c>
      <c r="C45" s="10">
        <v>60</v>
      </c>
    </row>
    <row r="46" spans="1:3" x14ac:dyDescent="0.25">
      <c r="A46" s="5" t="s">
        <v>174</v>
      </c>
      <c r="B46" s="15" t="s">
        <v>175</v>
      </c>
      <c r="C46" s="10">
        <v>15</v>
      </c>
    </row>
    <row r="47" spans="1:3" x14ac:dyDescent="0.25">
      <c r="A47" s="5" t="s">
        <v>176</v>
      </c>
      <c r="B47" s="15" t="s">
        <v>177</v>
      </c>
      <c r="C47" s="10">
        <v>25</v>
      </c>
    </row>
    <row r="48" spans="1:3" x14ac:dyDescent="0.25">
      <c r="A48" s="5" t="s">
        <v>178</v>
      </c>
      <c r="B48" s="15" t="s">
        <v>179</v>
      </c>
      <c r="C48" s="10">
        <v>35</v>
      </c>
    </row>
    <row r="49" spans="1:3" x14ac:dyDescent="0.25">
      <c r="A49" s="5" t="s">
        <v>180</v>
      </c>
      <c r="B49" s="15" t="s">
        <v>181</v>
      </c>
      <c r="C49" s="10">
        <v>60</v>
      </c>
    </row>
    <row r="50" spans="1:3" x14ac:dyDescent="0.25">
      <c r="A50" s="5" t="s">
        <v>21</v>
      </c>
      <c r="B50" s="15" t="s">
        <v>22</v>
      </c>
      <c r="C50" s="10">
        <v>100</v>
      </c>
    </row>
    <row r="51" spans="1:3" x14ac:dyDescent="0.25">
      <c r="A51" s="5" t="s">
        <v>182</v>
      </c>
      <c r="B51" s="15" t="s">
        <v>183</v>
      </c>
      <c r="C51" s="10">
        <v>55</v>
      </c>
    </row>
    <row r="52" spans="1:3" x14ac:dyDescent="0.25">
      <c r="A52" s="5" t="s">
        <v>57</v>
      </c>
      <c r="B52" s="15" t="s">
        <v>58</v>
      </c>
      <c r="C52" s="10">
        <v>55</v>
      </c>
    </row>
    <row r="53" spans="1:3" x14ac:dyDescent="0.25">
      <c r="A53" s="5" t="s">
        <v>184</v>
      </c>
      <c r="B53" s="15" t="s">
        <v>185</v>
      </c>
      <c r="C53" s="10">
        <v>100</v>
      </c>
    </row>
    <row r="54" spans="1:3" x14ac:dyDescent="0.25">
      <c r="A54" s="5" t="s">
        <v>186</v>
      </c>
      <c r="B54" s="15" t="s">
        <v>187</v>
      </c>
      <c r="C54" s="10">
        <v>45</v>
      </c>
    </row>
    <row r="55" spans="1:3" x14ac:dyDescent="0.25">
      <c r="A55" s="5" t="s">
        <v>188</v>
      </c>
      <c r="B55" s="15" t="s">
        <v>189</v>
      </c>
      <c r="C55" s="10">
        <v>100</v>
      </c>
    </row>
    <row r="56" spans="1:3" x14ac:dyDescent="0.25">
      <c r="A56" s="5" t="s">
        <v>190</v>
      </c>
      <c r="B56" s="15" t="s">
        <v>191</v>
      </c>
      <c r="C56" s="10">
        <v>70</v>
      </c>
    </row>
    <row r="57" spans="1:3" x14ac:dyDescent="0.25">
      <c r="A57" s="5" t="s">
        <v>192</v>
      </c>
      <c r="B57" s="15" t="s">
        <v>193</v>
      </c>
      <c r="C57" s="10">
        <v>50</v>
      </c>
    </row>
    <row r="58" spans="1:3" x14ac:dyDescent="0.25">
      <c r="A58" s="5" t="s">
        <v>194</v>
      </c>
      <c r="B58" s="15" t="s">
        <v>195</v>
      </c>
      <c r="C58" s="10">
        <v>70</v>
      </c>
    </row>
    <row r="59" spans="1:3" x14ac:dyDescent="0.25">
      <c r="A59" s="5" t="s">
        <v>196</v>
      </c>
      <c r="B59" s="15" t="s">
        <v>197</v>
      </c>
      <c r="C59" s="10">
        <v>75</v>
      </c>
    </row>
    <row r="60" spans="1:3" x14ac:dyDescent="0.25">
      <c r="A60" s="5" t="s">
        <v>198</v>
      </c>
      <c r="B60" s="15" t="s">
        <v>199</v>
      </c>
      <c r="C60" s="10">
        <v>85</v>
      </c>
    </row>
    <row r="61" spans="1:3" x14ac:dyDescent="0.25">
      <c r="A61" s="5" t="s">
        <v>200</v>
      </c>
      <c r="B61" s="15" t="s">
        <v>201</v>
      </c>
      <c r="C61" s="10">
        <v>65</v>
      </c>
    </row>
    <row r="62" spans="1:3" x14ac:dyDescent="0.25">
      <c r="A62" s="5" t="s">
        <v>202</v>
      </c>
      <c r="B62" s="15" t="s">
        <v>203</v>
      </c>
      <c r="C62" s="10">
        <v>100</v>
      </c>
    </row>
    <row r="63" spans="1:3" x14ac:dyDescent="0.25">
      <c r="A63" s="5" t="s">
        <v>204</v>
      </c>
      <c r="B63" s="15" t="s">
        <v>205</v>
      </c>
      <c r="C63" s="10">
        <v>95</v>
      </c>
    </row>
    <row r="64" spans="1:3" x14ac:dyDescent="0.25">
      <c r="A64" s="5" t="s">
        <v>206</v>
      </c>
      <c r="B64" s="15" t="s">
        <v>207</v>
      </c>
      <c r="C64" s="10">
        <v>95</v>
      </c>
    </row>
    <row r="65" spans="1:3" x14ac:dyDescent="0.25">
      <c r="A65" s="5" t="s">
        <v>208</v>
      </c>
      <c r="B65" s="15" t="s">
        <v>209</v>
      </c>
      <c r="C65" s="10">
        <v>425</v>
      </c>
    </row>
    <row r="66" spans="1:3" x14ac:dyDescent="0.25">
      <c r="A66" s="5" t="s">
        <v>210</v>
      </c>
      <c r="B66" s="15" t="s">
        <v>211</v>
      </c>
      <c r="C66" s="10">
        <v>390</v>
      </c>
    </row>
    <row r="67" spans="1:3" x14ac:dyDescent="0.25">
      <c r="A67" s="5" t="s">
        <v>212</v>
      </c>
      <c r="B67" s="15" t="s">
        <v>213</v>
      </c>
      <c r="C67" s="10">
        <v>360</v>
      </c>
    </row>
    <row r="68" spans="1:3" x14ac:dyDescent="0.25">
      <c r="A68" s="5" t="s">
        <v>214</v>
      </c>
      <c r="B68" s="15" t="s">
        <v>215</v>
      </c>
      <c r="C68" s="10">
        <v>300</v>
      </c>
    </row>
    <row r="69" spans="1:3" x14ac:dyDescent="0.25">
      <c r="A69" s="5" t="s">
        <v>216</v>
      </c>
      <c r="B69" s="15" t="s">
        <v>217</v>
      </c>
      <c r="C69" s="10">
        <v>300</v>
      </c>
    </row>
    <row r="70" spans="1:3" x14ac:dyDescent="0.25">
      <c r="A70" s="5" t="s">
        <v>47</v>
      </c>
      <c r="B70" s="15" t="s">
        <v>48</v>
      </c>
      <c r="C70" s="10">
        <v>265</v>
      </c>
    </row>
    <row r="71" spans="1:3" x14ac:dyDescent="0.25">
      <c r="A71" s="5" t="s">
        <v>218</v>
      </c>
      <c r="B71" s="15" t="s">
        <v>219</v>
      </c>
      <c r="C71" s="10">
        <v>320</v>
      </c>
    </row>
    <row r="72" spans="1:3" x14ac:dyDescent="0.25">
      <c r="A72" s="5" t="s">
        <v>220</v>
      </c>
      <c r="B72" s="15" t="s">
        <v>221</v>
      </c>
      <c r="C72" s="10">
        <v>480</v>
      </c>
    </row>
    <row r="73" spans="1:3" x14ac:dyDescent="0.25">
      <c r="A73" s="5" t="s">
        <v>222</v>
      </c>
      <c r="B73" s="15" t="s">
        <v>223</v>
      </c>
      <c r="C73" s="10">
        <v>360</v>
      </c>
    </row>
    <row r="74" spans="1:3" x14ac:dyDescent="0.25">
      <c r="A74" s="5" t="s">
        <v>224</v>
      </c>
      <c r="B74" s="15" t="s">
        <v>225</v>
      </c>
      <c r="C74" s="10">
        <v>470</v>
      </c>
    </row>
    <row r="75" spans="1:3" x14ac:dyDescent="0.25">
      <c r="A75" s="5" t="s">
        <v>226</v>
      </c>
      <c r="B75" s="15" t="s">
        <v>227</v>
      </c>
      <c r="C75" s="10">
        <v>265</v>
      </c>
    </row>
    <row r="76" spans="1:3" x14ac:dyDescent="0.25">
      <c r="A76" s="5" t="s">
        <v>228</v>
      </c>
      <c r="B76" s="15" t="s">
        <v>229</v>
      </c>
      <c r="C76" s="10">
        <v>285</v>
      </c>
    </row>
    <row r="77" spans="1:3" x14ac:dyDescent="0.25">
      <c r="A77" s="5" t="s">
        <v>230</v>
      </c>
      <c r="B77" s="15" t="s">
        <v>231</v>
      </c>
      <c r="C77" s="10">
        <v>370</v>
      </c>
    </row>
    <row r="78" spans="1:3" x14ac:dyDescent="0.25">
      <c r="A78" s="5" t="s">
        <v>44</v>
      </c>
      <c r="B78" s="15" t="s">
        <v>45</v>
      </c>
      <c r="C78" s="10">
        <v>400</v>
      </c>
    </row>
    <row r="79" spans="1:3" x14ac:dyDescent="0.25">
      <c r="A79" s="5" t="s">
        <v>232</v>
      </c>
      <c r="B79" s="15" t="s">
        <v>233</v>
      </c>
      <c r="C79" s="10">
        <v>260</v>
      </c>
    </row>
    <row r="80" spans="1:3" x14ac:dyDescent="0.25">
      <c r="A80" s="5" t="s">
        <v>61</v>
      </c>
      <c r="B80" s="15" t="s">
        <v>62</v>
      </c>
      <c r="C80" s="10">
        <v>30</v>
      </c>
    </row>
    <row r="81" spans="1:3" x14ac:dyDescent="0.25">
      <c r="A81" s="5" t="s">
        <v>234</v>
      </c>
      <c r="B81" s="15" t="s">
        <v>235</v>
      </c>
      <c r="C81" s="10">
        <v>25</v>
      </c>
    </row>
    <row r="82" spans="1:3" x14ac:dyDescent="0.25">
      <c r="A82" s="5" t="s">
        <v>236</v>
      </c>
      <c r="B82" s="15" t="s">
        <v>237</v>
      </c>
      <c r="C82" s="10">
        <v>50</v>
      </c>
    </row>
    <row r="83" spans="1:3" x14ac:dyDescent="0.25">
      <c r="A83" s="5" t="s">
        <v>238</v>
      </c>
      <c r="B83" s="15" t="s">
        <v>239</v>
      </c>
      <c r="C83" s="10">
        <v>30</v>
      </c>
    </row>
    <row r="84" spans="1:3" x14ac:dyDescent="0.25">
      <c r="A84" s="5" t="s">
        <v>240</v>
      </c>
      <c r="B84" s="15" t="s">
        <v>241</v>
      </c>
      <c r="C84" s="10">
        <v>20</v>
      </c>
    </row>
    <row r="85" spans="1:3" x14ac:dyDescent="0.25">
      <c r="A85" s="5" t="s">
        <v>242</v>
      </c>
      <c r="B85" s="15" t="s">
        <v>243</v>
      </c>
      <c r="C85" s="10">
        <v>30</v>
      </c>
    </row>
    <row r="86" spans="1:3" x14ac:dyDescent="0.25">
      <c r="A86" s="5" t="s">
        <v>244</v>
      </c>
      <c r="B86" s="15" t="s">
        <v>245</v>
      </c>
      <c r="C86" s="10">
        <v>40</v>
      </c>
    </row>
    <row r="87" spans="1:3" x14ac:dyDescent="0.25">
      <c r="A87" s="5" t="s">
        <v>246</v>
      </c>
      <c r="B87" s="15" t="s">
        <v>247</v>
      </c>
      <c r="C87" s="10">
        <v>35</v>
      </c>
    </row>
    <row r="88" spans="1:3" x14ac:dyDescent="0.25">
      <c r="A88" s="5" t="s">
        <v>248</v>
      </c>
      <c r="B88" s="15" t="s">
        <v>249</v>
      </c>
      <c r="C88" s="10">
        <v>55</v>
      </c>
    </row>
    <row r="89" spans="1:3" x14ac:dyDescent="0.25">
      <c r="A89" s="5" t="s">
        <v>89</v>
      </c>
      <c r="B89" s="15" t="s">
        <v>90</v>
      </c>
      <c r="C89" s="10">
        <v>20</v>
      </c>
    </row>
    <row r="90" spans="1:3" x14ac:dyDescent="0.25">
      <c r="A90" s="5" t="s">
        <v>250</v>
      </c>
      <c r="B90" s="15" t="s">
        <v>251</v>
      </c>
      <c r="C90" s="10">
        <v>50</v>
      </c>
    </row>
    <row r="91" spans="1:3" x14ac:dyDescent="0.25">
      <c r="A91" s="5" t="s">
        <v>252</v>
      </c>
      <c r="B91" s="15" t="s">
        <v>253</v>
      </c>
      <c r="C91" s="10">
        <v>45</v>
      </c>
    </row>
    <row r="92" spans="1:3" x14ac:dyDescent="0.25">
      <c r="A92" s="5" t="s">
        <v>24</v>
      </c>
      <c r="B92" s="15" t="s">
        <v>25</v>
      </c>
      <c r="C92" s="10">
        <v>30</v>
      </c>
    </row>
    <row r="93" spans="1:3" x14ac:dyDescent="0.25">
      <c r="A93" s="5" t="s">
        <v>254</v>
      </c>
      <c r="B93" s="15" t="s">
        <v>255</v>
      </c>
      <c r="C93" s="10">
        <v>55</v>
      </c>
    </row>
    <row r="94" spans="1:3" x14ac:dyDescent="0.25">
      <c r="A94" s="5" t="s">
        <v>256</v>
      </c>
      <c r="B94" s="15" t="s">
        <v>257</v>
      </c>
      <c r="C94" s="10">
        <v>15</v>
      </c>
    </row>
    <row r="95" spans="1:3" x14ac:dyDescent="0.25">
      <c r="A95" s="5" t="s">
        <v>258</v>
      </c>
      <c r="B95" s="15" t="s">
        <v>259</v>
      </c>
      <c r="C95" s="10">
        <v>495</v>
      </c>
    </row>
    <row r="96" spans="1:3" x14ac:dyDescent="0.25">
      <c r="A96" s="5" t="s">
        <v>260</v>
      </c>
      <c r="B96" s="15" t="s">
        <v>261</v>
      </c>
      <c r="C96" s="10">
        <v>330</v>
      </c>
    </row>
    <row r="97" spans="1:3" x14ac:dyDescent="0.25">
      <c r="A97" s="5" t="s">
        <v>262</v>
      </c>
      <c r="B97" s="15" t="s">
        <v>263</v>
      </c>
      <c r="C97" s="10">
        <v>365</v>
      </c>
    </row>
    <row r="98" spans="1:3" x14ac:dyDescent="0.25">
      <c r="A98" s="5" t="s">
        <v>264</v>
      </c>
      <c r="B98" s="15" t="s">
        <v>265</v>
      </c>
      <c r="C98" s="10">
        <v>675</v>
      </c>
    </row>
    <row r="99" spans="1:3" x14ac:dyDescent="0.25">
      <c r="A99" s="5" t="s">
        <v>266</v>
      </c>
      <c r="B99" s="15" t="s">
        <v>267</v>
      </c>
      <c r="C99" s="10">
        <v>665</v>
      </c>
    </row>
    <row r="100" spans="1:3" x14ac:dyDescent="0.25">
      <c r="A100" s="5" t="s">
        <v>268</v>
      </c>
      <c r="B100" s="15" t="s">
        <v>269</v>
      </c>
      <c r="C100" s="10">
        <v>510</v>
      </c>
    </row>
    <row r="101" spans="1:3" x14ac:dyDescent="0.25">
      <c r="A101" s="5" t="s">
        <v>86</v>
      </c>
      <c r="B101" s="15" t="s">
        <v>87</v>
      </c>
      <c r="C101" s="10">
        <v>415</v>
      </c>
    </row>
    <row r="102" spans="1:3" x14ac:dyDescent="0.25">
      <c r="A102" s="5" t="s">
        <v>270</v>
      </c>
      <c r="B102" s="15" t="s">
        <v>271</v>
      </c>
      <c r="C102" s="10">
        <v>365</v>
      </c>
    </row>
    <row r="103" spans="1:3" x14ac:dyDescent="0.25">
      <c r="A103" s="5" t="s">
        <v>272</v>
      </c>
      <c r="B103" s="15" t="s">
        <v>273</v>
      </c>
      <c r="C103" s="10">
        <v>420</v>
      </c>
    </row>
    <row r="104" spans="1:3" x14ac:dyDescent="0.25">
      <c r="A104" s="5" t="s">
        <v>274</v>
      </c>
      <c r="B104" s="15" t="s">
        <v>275</v>
      </c>
      <c r="C104" s="10">
        <v>660</v>
      </c>
    </row>
    <row r="105" spans="1:3" x14ac:dyDescent="0.25">
      <c r="A105" s="5" t="s">
        <v>33</v>
      </c>
      <c r="B105" s="15" t="s">
        <v>34</v>
      </c>
      <c r="C105" s="10">
        <v>325</v>
      </c>
    </row>
    <row r="106" spans="1:3" x14ac:dyDescent="0.25">
      <c r="A106" s="5" t="s">
        <v>276</v>
      </c>
      <c r="B106" s="15" t="s">
        <v>277</v>
      </c>
      <c r="C106" s="10">
        <v>625</v>
      </c>
    </row>
    <row r="107" spans="1:3" x14ac:dyDescent="0.25">
      <c r="A107" s="5" t="s">
        <v>278</v>
      </c>
      <c r="B107" s="15" t="s">
        <v>279</v>
      </c>
      <c r="C107" s="10">
        <v>370</v>
      </c>
    </row>
    <row r="108" spans="1:3" x14ac:dyDescent="0.25">
      <c r="A108" s="5" t="s">
        <v>280</v>
      </c>
      <c r="B108" s="15" t="s">
        <v>281</v>
      </c>
      <c r="C108" s="10">
        <v>500</v>
      </c>
    </row>
    <row r="109" spans="1:3" x14ac:dyDescent="0.25">
      <c r="A109" s="5" t="s">
        <v>18</v>
      </c>
      <c r="B109" s="15" t="s">
        <v>19</v>
      </c>
      <c r="C109" s="10">
        <v>570</v>
      </c>
    </row>
    <row r="110" spans="1:3" x14ac:dyDescent="0.25">
      <c r="A110" s="5" t="s">
        <v>282</v>
      </c>
      <c r="B110" s="15" t="s">
        <v>283</v>
      </c>
      <c r="C110" s="10">
        <v>525</v>
      </c>
    </row>
    <row r="111" spans="1:3" x14ac:dyDescent="0.25">
      <c r="A111" s="5" t="s">
        <v>284</v>
      </c>
      <c r="B111" s="15" t="s">
        <v>285</v>
      </c>
      <c r="C111" s="10">
        <v>420</v>
      </c>
    </row>
    <row r="112" spans="1:3" x14ac:dyDescent="0.25">
      <c r="A112" s="5" t="s">
        <v>286</v>
      </c>
      <c r="B112" s="15" t="s">
        <v>287</v>
      </c>
      <c r="C112" s="10">
        <v>295</v>
      </c>
    </row>
    <row r="113" spans="1:3" x14ac:dyDescent="0.25">
      <c r="A113" s="5" t="s">
        <v>288</v>
      </c>
      <c r="B113" s="15" t="s">
        <v>289</v>
      </c>
      <c r="C113" s="10">
        <v>330</v>
      </c>
    </row>
    <row r="114" spans="1:3" x14ac:dyDescent="0.25">
      <c r="A114" s="5" t="s">
        <v>72</v>
      </c>
      <c r="B114" s="15" t="s">
        <v>73</v>
      </c>
      <c r="C114" s="10">
        <v>460</v>
      </c>
    </row>
    <row r="115" spans="1:3" x14ac:dyDescent="0.25">
      <c r="A115" s="5" t="s">
        <v>83</v>
      </c>
      <c r="B115" s="15" t="s">
        <v>84</v>
      </c>
      <c r="C115" s="10">
        <v>305</v>
      </c>
    </row>
    <row r="116" spans="1:3" x14ac:dyDescent="0.25">
      <c r="A116" s="5" t="s">
        <v>50</v>
      </c>
      <c r="B116" s="15" t="s">
        <v>51</v>
      </c>
      <c r="C116" s="10">
        <v>275</v>
      </c>
    </row>
    <row r="117" spans="1:3" x14ac:dyDescent="0.25">
      <c r="A117" s="5" t="s">
        <v>290</v>
      </c>
      <c r="B117" s="15" t="s">
        <v>291</v>
      </c>
      <c r="C117" s="10">
        <v>365</v>
      </c>
    </row>
    <row r="118" spans="1:3" x14ac:dyDescent="0.25">
      <c r="A118" s="5" t="s">
        <v>292</v>
      </c>
      <c r="B118" s="15" t="s">
        <v>293</v>
      </c>
      <c r="C118" s="10">
        <v>500</v>
      </c>
    </row>
    <row r="119" spans="1:3" x14ac:dyDescent="0.25">
      <c r="A119" s="5" t="s">
        <v>64</v>
      </c>
      <c r="B119" s="15" t="s">
        <v>65</v>
      </c>
      <c r="C119" s="10">
        <v>485</v>
      </c>
    </row>
    <row r="120" spans="1:3" x14ac:dyDescent="0.25">
      <c r="A120" s="5" t="s">
        <v>294</v>
      </c>
      <c r="B120" s="15" t="s">
        <v>295</v>
      </c>
      <c r="C120" s="10">
        <v>280</v>
      </c>
    </row>
    <row r="121" spans="1:3" x14ac:dyDescent="0.25">
      <c r="A121" s="5" t="s">
        <v>78</v>
      </c>
      <c r="B121" s="15" t="s">
        <v>79</v>
      </c>
      <c r="C121" s="10">
        <v>290</v>
      </c>
    </row>
    <row r="122" spans="1:3" x14ac:dyDescent="0.25">
      <c r="A122" s="5" t="s">
        <v>296</v>
      </c>
      <c r="B122" s="15" t="s">
        <v>297</v>
      </c>
      <c r="C122" s="10">
        <v>275</v>
      </c>
    </row>
    <row r="123" spans="1:3" x14ac:dyDescent="0.25">
      <c r="A123" s="5" t="s">
        <v>298</v>
      </c>
      <c r="B123" s="15" t="s">
        <v>299</v>
      </c>
      <c r="C123" s="10">
        <v>395</v>
      </c>
    </row>
    <row r="124" spans="1:3" x14ac:dyDescent="0.25">
      <c r="A124" s="5" t="s">
        <v>300</v>
      </c>
      <c r="B124" s="15" t="s">
        <v>301</v>
      </c>
      <c r="C124" s="10">
        <v>450</v>
      </c>
    </row>
    <row r="125" spans="1:3" x14ac:dyDescent="0.25">
      <c r="A125" s="5" t="s">
        <v>302</v>
      </c>
      <c r="B125" s="15" t="s">
        <v>303</v>
      </c>
      <c r="C125" s="10">
        <v>125</v>
      </c>
    </row>
    <row r="126" spans="1:3" x14ac:dyDescent="0.25">
      <c r="A126" s="5" t="s">
        <v>304</v>
      </c>
      <c r="B126" s="15" t="s">
        <v>305</v>
      </c>
      <c r="C126" s="10">
        <v>90</v>
      </c>
    </row>
    <row r="127" spans="1:3" x14ac:dyDescent="0.25">
      <c r="A127" s="5" t="s">
        <v>306</v>
      </c>
      <c r="B127" s="15" t="s">
        <v>307</v>
      </c>
      <c r="C127" s="10">
        <v>150</v>
      </c>
    </row>
    <row r="128" spans="1:3" x14ac:dyDescent="0.25">
      <c r="A128" s="5" t="s">
        <v>308</v>
      </c>
      <c r="B128" s="15" t="s">
        <v>309</v>
      </c>
      <c r="C128" s="10">
        <v>135</v>
      </c>
    </row>
    <row r="129" spans="1:3" x14ac:dyDescent="0.25">
      <c r="A129" s="5" t="s">
        <v>75</v>
      </c>
      <c r="B129" s="15" t="s">
        <v>76</v>
      </c>
      <c r="C129" s="10">
        <v>110</v>
      </c>
    </row>
    <row r="130" spans="1:3" x14ac:dyDescent="0.25">
      <c r="A130" s="5" t="s">
        <v>310</v>
      </c>
      <c r="B130" s="15" t="s">
        <v>311</v>
      </c>
      <c r="C130" s="10">
        <v>100</v>
      </c>
    </row>
    <row r="131" spans="1:3" x14ac:dyDescent="0.25">
      <c r="A131" s="5" t="s">
        <v>312</v>
      </c>
      <c r="B131" s="15" t="s">
        <v>313</v>
      </c>
      <c r="C131" s="10">
        <v>110</v>
      </c>
    </row>
    <row r="132" spans="1:3" x14ac:dyDescent="0.25">
      <c r="A132" s="5" t="s">
        <v>314</v>
      </c>
      <c r="B132" s="15" t="s">
        <v>315</v>
      </c>
      <c r="C132" s="10">
        <v>165</v>
      </c>
    </row>
    <row r="133" spans="1:3" x14ac:dyDescent="0.25">
      <c r="A133" s="5" t="s">
        <v>316</v>
      </c>
      <c r="B133" s="15" t="s">
        <v>317</v>
      </c>
      <c r="C133" s="10">
        <v>145</v>
      </c>
    </row>
    <row r="134" spans="1:3" x14ac:dyDescent="0.25">
      <c r="A134" s="5" t="s">
        <v>318</v>
      </c>
      <c r="B134" s="15" t="s">
        <v>319</v>
      </c>
      <c r="C134" s="10">
        <v>165</v>
      </c>
    </row>
    <row r="135" spans="1:3" x14ac:dyDescent="0.25">
      <c r="A135" s="5" t="s">
        <v>320</v>
      </c>
      <c r="B135" s="15" t="s">
        <v>321</v>
      </c>
      <c r="C135" s="10">
        <v>140</v>
      </c>
    </row>
    <row r="136" spans="1:3" x14ac:dyDescent="0.25">
      <c r="A136" s="5" t="s">
        <v>322</v>
      </c>
      <c r="B136" s="15" t="s">
        <v>323</v>
      </c>
      <c r="C136" s="10">
        <v>140</v>
      </c>
    </row>
    <row r="137" spans="1:3" x14ac:dyDescent="0.25">
      <c r="A137" s="5" t="s">
        <v>41</v>
      </c>
      <c r="B137" s="15" t="s">
        <v>42</v>
      </c>
      <c r="C137" s="10">
        <v>175</v>
      </c>
    </row>
    <row r="138" spans="1:3" x14ac:dyDescent="0.25">
      <c r="A138" s="5" t="s">
        <v>324</v>
      </c>
      <c r="B138" s="15" t="s">
        <v>325</v>
      </c>
      <c r="C138" s="10">
        <v>145</v>
      </c>
    </row>
    <row r="139" spans="1:3" x14ac:dyDescent="0.25">
      <c r="A139" s="5" t="s">
        <v>326</v>
      </c>
      <c r="B139" s="15" t="s">
        <v>327</v>
      </c>
      <c r="C139" s="10">
        <v>110</v>
      </c>
    </row>
    <row r="140" spans="1:3" x14ac:dyDescent="0.25">
      <c r="A140" s="5" t="s">
        <v>328</v>
      </c>
      <c r="B140" s="15" t="s">
        <v>329</v>
      </c>
      <c r="C140" s="10">
        <v>545</v>
      </c>
    </row>
    <row r="141" spans="1:3" x14ac:dyDescent="0.25">
      <c r="A141" s="5" t="s">
        <v>67</v>
      </c>
      <c r="B141" s="15" t="s">
        <v>68</v>
      </c>
      <c r="C141" s="10">
        <v>745</v>
      </c>
    </row>
    <row r="142" spans="1:3" x14ac:dyDescent="0.25">
      <c r="A142" s="5" t="s">
        <v>330</v>
      </c>
      <c r="B142" s="15" t="s">
        <v>331</v>
      </c>
      <c r="C142" s="10">
        <v>705</v>
      </c>
    </row>
    <row r="143" spans="1:3" x14ac:dyDescent="0.25">
      <c r="A143" s="5" t="s">
        <v>332</v>
      </c>
      <c r="B143" s="15" t="s">
        <v>333</v>
      </c>
      <c r="C143" s="10">
        <v>445</v>
      </c>
    </row>
    <row r="144" spans="1:3" x14ac:dyDescent="0.25">
      <c r="A144" s="5" t="s">
        <v>334</v>
      </c>
      <c r="B144" s="15" t="s">
        <v>335</v>
      </c>
      <c r="C144" s="10">
        <v>715</v>
      </c>
    </row>
    <row r="145" spans="1:3" x14ac:dyDescent="0.25">
      <c r="A145" s="5" t="s">
        <v>336</v>
      </c>
      <c r="B145" s="15" t="s">
        <v>337</v>
      </c>
      <c r="C145" s="10">
        <v>695</v>
      </c>
    </row>
    <row r="146" spans="1:3" x14ac:dyDescent="0.25">
      <c r="A146" s="5" t="s">
        <v>338</v>
      </c>
      <c r="B146" s="15" t="s">
        <v>339</v>
      </c>
      <c r="C146" s="10">
        <v>425</v>
      </c>
    </row>
    <row r="147" spans="1:3" x14ac:dyDescent="0.25">
      <c r="A147" s="5" t="s">
        <v>340</v>
      </c>
      <c r="B147" s="15" t="s">
        <v>341</v>
      </c>
      <c r="C147" s="10">
        <v>640</v>
      </c>
    </row>
    <row r="148" spans="1:3" x14ac:dyDescent="0.25">
      <c r="A148" s="5" t="s">
        <v>342</v>
      </c>
      <c r="B148" s="15" t="s">
        <v>343</v>
      </c>
      <c r="C148" s="10">
        <v>680</v>
      </c>
    </row>
    <row r="149" spans="1:3" x14ac:dyDescent="0.25">
      <c r="A149" s="5" t="s">
        <v>344</v>
      </c>
      <c r="B149" s="15" t="s">
        <v>345</v>
      </c>
      <c r="C149" s="10">
        <v>610</v>
      </c>
    </row>
    <row r="150" spans="1:3" x14ac:dyDescent="0.25">
      <c r="A150" s="5" t="s">
        <v>346</v>
      </c>
      <c r="B150" s="15" t="s">
        <v>347</v>
      </c>
      <c r="C150" s="10">
        <v>505</v>
      </c>
    </row>
    <row r="151" spans="1:3" x14ac:dyDescent="0.25">
      <c r="A151" s="5" t="s">
        <v>348</v>
      </c>
      <c r="B151" s="15" t="s">
        <v>349</v>
      </c>
      <c r="C151" s="10">
        <v>780</v>
      </c>
    </row>
    <row r="152" spans="1:3" x14ac:dyDescent="0.25">
      <c r="A152" s="5" t="s">
        <v>350</v>
      </c>
      <c r="B152" s="15" t="s">
        <v>351</v>
      </c>
      <c r="C152" s="10">
        <v>440</v>
      </c>
    </row>
    <row r="153" spans="1:3" x14ac:dyDescent="0.25">
      <c r="A153" s="5" t="s">
        <v>352</v>
      </c>
      <c r="B153" s="15" t="s">
        <v>353</v>
      </c>
      <c r="C153" s="10">
        <v>505</v>
      </c>
    </row>
    <row r="154" spans="1:3" x14ac:dyDescent="0.25">
      <c r="A154" s="5" t="s">
        <v>354</v>
      </c>
      <c r="B154" s="15" t="s">
        <v>355</v>
      </c>
      <c r="C154" s="10">
        <v>650</v>
      </c>
    </row>
  </sheetData>
  <mergeCells count="2">
    <mergeCell ref="A1:C1"/>
    <mergeCell ref="A2:C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 rightToLeft="1" showGridLines="0"/>
  </sheetViews>
  <sheetFormatPr defaultRowHeight="15" outlineLevelRow="0" outlineLevelCol="0" x14ac:dyDescent="55"/>
  <cols>
    <col min="1" max="1" width="6" customWidth="1"/>
    <col min="2" max="2" width="42" customWidth="1"/>
    <col min="3" max="3" width="40" customWidth="1"/>
    <col min="4" max="4" width="34" customWidth="1"/>
    <col min="5" max="5" width="14" customWidth="1"/>
    <col min="7" max="7" width="9" hidden="1" customWidth="1"/>
  </cols>
  <sheetData>
    <row r="1" ht="26" customHeight="1" spans="1:5" x14ac:dyDescent="0.25">
      <c r="A1" s="1" t="s">
        <v>356</v>
      </c>
      <c r="B1" s="1"/>
      <c r="C1" s="1"/>
      <c r="D1" s="1"/>
      <c r="E1" s="1"/>
    </row>
    <row r="2" ht="26" customHeight="1" spans="1:5" x14ac:dyDescent="0.25">
      <c r="A2" s="2" t="s">
        <v>357</v>
      </c>
      <c r="B2" s="2"/>
      <c r="C2" s="2"/>
      <c r="D2" s="2"/>
      <c r="E2" s="2"/>
    </row>
    <row r="3" spans="1:5" x14ac:dyDescent="0.25">
      <c r="A3" s="2" t="s">
        <v>358</v>
      </c>
      <c r="B3" s="2"/>
      <c r="C3" s="2"/>
      <c r="D3" s="2"/>
      <c r="E3" s="2"/>
    </row>
    <row r="5" ht="28" customHeight="1" spans="1:5" x14ac:dyDescent="0.25">
      <c r="A5" s="4" t="s">
        <v>359</v>
      </c>
      <c r="B5" s="4" t="s">
        <v>360</v>
      </c>
      <c r="C5" s="4" t="s">
        <v>361</v>
      </c>
      <c r="D5" s="4" t="s">
        <v>362</v>
      </c>
      <c r="E5" s="4" t="s">
        <v>12</v>
      </c>
    </row>
    <row r="6" ht="30" customHeight="1" spans="1:7" x14ac:dyDescent="0.25">
      <c r="A6" s="5">
        <v>1</v>
      </c>
      <c r="B6" s="16" t="s">
        <v>363</v>
      </c>
      <c r="C6" s="17" t="s">
        <v>364</v>
      </c>
      <c r="D6" s="6"/>
      <c r="E6" s="9">
        <f>IF(D6="","",IF(D6=G6,"✔ נכון","✖ לא זה"))</f>
      </c>
      <c r="G6" t="s">
        <v>365</v>
      </c>
    </row>
    <row r="7" ht="30" customHeight="1" spans="1:7" x14ac:dyDescent="0.25">
      <c r="A7" s="5">
        <v>2</v>
      </c>
      <c r="B7" s="16" t="s">
        <v>366</v>
      </c>
      <c r="C7" s="17" t="s">
        <v>367</v>
      </c>
      <c r="D7" s="6"/>
      <c r="E7" s="9">
        <f>IF(D7="","",IF(D7=G7,"✔ נכון","✖ לא זה"))</f>
      </c>
      <c r="G7" t="s">
        <v>368</v>
      </c>
    </row>
    <row r="8" ht="30" customHeight="1" spans="1:7" x14ac:dyDescent="0.25">
      <c r="A8" s="5">
        <v>3</v>
      </c>
      <c r="B8" s="16" t="s">
        <v>369</v>
      </c>
      <c r="C8" s="17" t="s">
        <v>370</v>
      </c>
      <c r="D8" s="6"/>
      <c r="E8" s="9">
        <f>IF(D8="","",IF(D8=G8,"✔ נכון","✖ לא זה"))</f>
      </c>
      <c r="G8" t="s">
        <v>371</v>
      </c>
    </row>
    <row r="9" ht="30" customHeight="1" spans="1:7" x14ac:dyDescent="0.25">
      <c r="A9" s="5">
        <v>4</v>
      </c>
      <c r="B9" s="16" t="s">
        <v>372</v>
      </c>
      <c r="C9" s="17" t="s">
        <v>373</v>
      </c>
      <c r="D9" s="6"/>
      <c r="E9" s="9">
        <f>IF(D9="","",IF(D9=G9,"✔ נכון","✖ לא זה"))</f>
      </c>
      <c r="G9" t="s">
        <v>374</v>
      </c>
    </row>
    <row r="10" ht="30" customHeight="1" spans="1:7" x14ac:dyDescent="0.25">
      <c r="A10" s="5">
        <v>5</v>
      </c>
      <c r="B10" s="16" t="s">
        <v>375</v>
      </c>
      <c r="C10" s="17" t="s">
        <v>376</v>
      </c>
      <c r="D10" s="6"/>
      <c r="E10" s="9">
        <f>IF(D10="","",IF(D10=G10,"✔ נכון","✖ לא זה"))</f>
      </c>
      <c r="G10" t="s">
        <v>377</v>
      </c>
    </row>
    <row r="12" spans="3:5" x14ac:dyDescent="0.25">
      <c r="C12" s="13" t="s">
        <v>378</v>
      </c>
      <c r="E12" s="9">
        <f>COUNTIF(E6:E10,"✔ נכון") &amp; " מתוך 5"</f>
      </c>
    </row>
  </sheetData>
  <mergeCells count="3">
    <mergeCell ref="A1:E1"/>
    <mergeCell ref="A2:E2"/>
    <mergeCell ref="A3:E3"/>
  </mergeCells>
  <dataValidations count="5">
    <dataValidation type="list" allowBlank="1" showErrorMessage="1" errorTitle="בחרו מהרשימה" error="יש לבחור אחת מהאפשרויות." sqref="D10">
      <formula1>"צריך 1- ולא 1 — מינוס = יורדים למדרגה שמתחת,הטווחים לא מקובעים,הטבלה לא ממוינת,חסר פסיק"</formula1>
    </dataValidation>
    <dataValidation type="list" allowBlank="1" showErrorMessage="1" errorTitle="בחרו מהרשימה" error="יש לבחור אחת מהאפשרויות." sqref="D6">
      <formula1>"עמודת החיפוש היא טווח של שלוש עמודות במקום אחת,הטווחים לא מקובעים,חסר 1- בסוף,ערך החיפוש שגוי"</formula1>
    </dataValidation>
    <dataValidation type="list" allowBlank="1" showErrorMessage="1" errorTitle="בחרו מהרשימה" error="יש לבחור אחת מהאפשרויות." sqref="D7">
      <formula1>"הטווחים לא מקובעים ולכן החליקו בגרירה,הטבלה לא ממוינת,צריך להוסיף FALSE,עמודת התוצאה שגויה"</formula1>
    </dataValidation>
    <dataValidation type="list" allowBlank="1" showErrorMessage="1" errorTitle="בחרו מהרשימה" error="יש לבחור אחת מהאפשרויות." sqref="D8">
      <formula1>"שתי העמודות לא באותו גודל,הערך לא קיים,חסר פסיק,הגרסה של אקסל ישנה"</formula1>
    </dataValidation>
    <dataValidation type="list" allowBlank="1" showErrorMessage="1" errorTitle="בחרו מהרשימה" error="יש לבחור אחת מהאפשרויות." sqref="D9">
      <formula1>"חסר פסיק — ה-1- נכנס למקום של ״מה להציג אם לא נמצא״,צריך 1 ולא 1-,הטווח שגוי,צריך להוסיף מרכאות"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יום עבודה במחסן</vt:lpstr>
      <vt:lpstr>קטלוג החלפים</vt:lpstr>
      <vt:lpstr>תקנו את הנוסחה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לומדת XLOOKUP — מידע ונתונים</dc:creator>
  <dc:title/>
  <dc:subject/>
  <dc:description/>
  <cp:keywords/>
  <cp:category/>
  <cp:lastModifiedBy>Unknown</cp:lastModifiedBy>
  <dcterms:created xsi:type="dcterms:W3CDTF">2026-09-21T17:45:37Z</dcterms:created>
  <dcterms:modified xsi:type="dcterms:W3CDTF">2026-09-21T17:45:37Z</dcterms:modified>
</cp:coreProperties>
</file>